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C:\Users\ZD72N1T\Downloads\"/>
    </mc:Choice>
  </mc:AlternateContent>
  <xr:revisionPtr revIDLastSave="0" documentId="8_{7833D66C-432B-41F8-BA87-3914301DBDA3}" xr6:coauthVersionLast="47" xr6:coauthVersionMax="47" xr10:uidLastSave="{00000000-0000-0000-0000-000000000000}"/>
  <bookViews>
    <workbookView xWindow="-120" yWindow="-120" windowWidth="29040" windowHeight="15720" firstSheet="2" activeTab="2" xr2:uid="{BE348EA6-EB68-49C9-B905-EA371A2EB8C2}"/>
  </bookViews>
  <sheets>
    <sheet name="R120638-A" sheetId="9" r:id="rId1"/>
    <sheet name="R120636-B" sheetId="10" r:id="rId2"/>
    <sheet name="R544000-C" sheetId="12" r:id="rId3"/>
    <sheet name="DZ133378-D" sheetId="14" r:id="rId4"/>
    <sheet name="COMBINADOR" sheetId="11" r:id="rId5"/>
    <sheet name="ENTREGABLE NEW" sheetId="7" r:id="rId6"/>
    <sheet name="MM" sheetId="8" state="hidden" r:id="rId7"/>
    <sheet name="Hoja1" sheetId="15" state="hidden" r:id="rId8"/>
  </sheets>
  <externalReferences>
    <externalReference r:id="rId9"/>
    <externalReference r:id="rId10"/>
    <externalReference r:id="rId11"/>
    <externalReference r:id="rId12"/>
    <externalReference r:id="rId13"/>
    <externalReference r:id="rId14"/>
  </externalReferences>
  <definedNames>
    <definedName name="\0">#REF!</definedName>
    <definedName name="\P">#REF!</definedName>
    <definedName name="_19RE03">#REF!</definedName>
    <definedName name="_DAt">[1]Hoja1!#REF!</definedName>
    <definedName name="_DAT1">#REF!</definedName>
    <definedName name="_DAT10">[1]Hoja1!#REF!</definedName>
    <definedName name="_DAT11">[1]Hoja1!#REF!</definedName>
    <definedName name="_DAt111">[1]Hoja1!#REF!</definedName>
    <definedName name="_DAT12">[1]Hoja1!#REF!</definedName>
    <definedName name="_DAT13">[1]Hoja1!#REF!</definedName>
    <definedName name="_DAT14">[1]Hoja1!#REF!</definedName>
    <definedName name="_DAT15">[1]Hoja1!#REF!</definedName>
    <definedName name="_DAT16">[1]Hoja1!#REF!</definedName>
    <definedName name="_DAT17">[1]Hoja1!#REF!</definedName>
    <definedName name="_DAT18">[1]Hoja1!#REF!</definedName>
    <definedName name="_DAT19">[1]Hoja1!#REF!</definedName>
    <definedName name="_DAT2">#REF!</definedName>
    <definedName name="_DAT20">[1]Hoja1!#REF!</definedName>
    <definedName name="_DAT21">#REF!</definedName>
    <definedName name="_DAT2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AT91">#REF!</definedName>
    <definedName name="_DAT92">#REF!</definedName>
    <definedName name="_DAT93">#REF!</definedName>
    <definedName name="_DATTT">#REF!</definedName>
    <definedName name="_DATxx">[1]Hoja1!#REF!</definedName>
    <definedName name="_DATZZ">#REF!</definedName>
    <definedName name="_xlnm._FilterDatabase" localSheetId="3" hidden="1">'DZ133378-D'!$A$15:$P$51</definedName>
    <definedName name="_xlnm._FilterDatabase" localSheetId="0" hidden="1">'R120638-A'!$A$15:$O$50</definedName>
    <definedName name="_my03">#REF!</definedName>
    <definedName name="_xlchart.v1.0" hidden="1">Hoja1!$C$6:$C$13</definedName>
    <definedName name="_xlchart.v1.1" hidden="1">Hoja1!$H$6:$H$13</definedName>
    <definedName name="_xlchart.v1.2" hidden="1">Hoja1!$C$6:$C$13</definedName>
    <definedName name="_xlchart.v1.3" hidden="1">Hoja1!$H$6:$H$13</definedName>
    <definedName name="A_impresión_IM">#REF!</definedName>
    <definedName name="actioncostred">[2]Directions_Expectations!$Q$104:$Q$107</definedName>
    <definedName name="actionsta">[2]Directions_Expectations!$Q$104:$Q$108</definedName>
    <definedName name="aeriefeedrate">#REF!</definedName>
    <definedName name="_xlnm.Print_Area" localSheetId="5">'ENTREGABLE NEW'!$N$5:$Q$33,'ENTREGABLE NEW'!$A$9:$L$79</definedName>
    <definedName name="autotrac">#REF!</definedName>
    <definedName name="bpu">#REF!</definedName>
    <definedName name="CALIDAD">[3]SupplierList!$K$3:$K$5</definedName>
    <definedName name="cambio">#REF!</definedName>
    <definedName name="Category2">'[4]Drill down'!$B$2:$B$5</definedName>
    <definedName name="complex">#REF!</definedName>
    <definedName name="Confidence1">'[4]Drill down'!$B$17:$B$21</definedName>
    <definedName name="confidencedesign">[2]Directions_Expectations!$Q$94:$Q$100</definedName>
    <definedName name="Cost">#REF!</definedName>
    <definedName name="_xlnm.Criteria">#REF!</definedName>
    <definedName name="critical">[2]Directions_Expectations!$Q$48:$Q$49</definedName>
    <definedName name="DAT_BIS">#REF!</definedName>
    <definedName name="DAT10_BIS">#REF!</definedName>
    <definedName name="DAT11_BIS">#REF!</definedName>
    <definedName name="DAT12_BIS">#REF!</definedName>
    <definedName name="DAT13_BIS">#REF!</definedName>
    <definedName name="DAT14_BIS">#REF!</definedName>
    <definedName name="DAT15_BIS">#REF!</definedName>
    <definedName name="DAT16_BIS">#REF!</definedName>
    <definedName name="DAT17_BIS">#REF!</definedName>
    <definedName name="DAT18_BIS">#REF!</definedName>
    <definedName name="DAT19_BIS">#REF!</definedName>
    <definedName name="DAT2_BIS">#REF!</definedName>
    <definedName name="DAT20_BIS">#REF!</definedName>
    <definedName name="DAT3_BIS">#REF!</definedName>
    <definedName name="DAT4_BIS">#REF!</definedName>
    <definedName name="DAT5_BIS">#REF!</definedName>
    <definedName name="DAT6_BIS">#REF!</definedName>
    <definedName name="DAT7_BIS">#REF!</definedName>
    <definedName name="DAT8_BIS">#REF!</definedName>
    <definedName name="DAT9_BIS">#REF!</definedName>
    <definedName name="DATA1">#REF!</definedName>
    <definedName name="DATA10">#REF!</definedName>
    <definedName name="DATA11">#REF!</definedName>
    <definedName name="DATA12">#REF!</definedName>
    <definedName name="DATA13">#REF!</definedName>
    <definedName name="DATA14">#REF!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M">#REF!</definedName>
    <definedName name="dolar">'[5]Tooling Capital Plan'!#REF!</definedName>
    <definedName name="e">#REF!</definedName>
    <definedName name="edgeguidance">#REF!</definedName>
    <definedName name="feedrate">#REF!</definedName>
    <definedName name="FF">#REF!</definedName>
    <definedName name="g">'[5]Tooling Capital Plan'!#REF!</definedName>
    <definedName name="gg">#REF!</definedName>
    <definedName name="h">#REF!</definedName>
    <definedName name="hillmaster">#REF!</definedName>
    <definedName name="Implementation">'[4]Drill down'!$B$9:$B$14</definedName>
    <definedName name="Intermitentes">[6]REFERENCIAS!#REF!</definedName>
    <definedName name="Intermitentes10">[6]REFERENCIAS!#REF!</definedName>
    <definedName name="Intermitentes11">[6]REFERENCIAS!#REF!</definedName>
    <definedName name="Intermitentes12">[6]REFERENCIAS!#REF!</definedName>
    <definedName name="Intermitentes2">[6]REFERENCIAS!#REF!</definedName>
    <definedName name="Intermitentes3">[6]REFERENCIAS!#REF!</definedName>
    <definedName name="Intermitentes4">[6]REFERENCIAS!#REF!</definedName>
    <definedName name="Intermitentes5">[6]REFERENCIAS!#REF!</definedName>
    <definedName name="Intermitentes6">[6]REFERENCIAS!#REF!</definedName>
    <definedName name="Intermitentes7">[6]REFERENCIAS!#REF!</definedName>
    <definedName name="Intermitentes8">[6]REFERENCIAS!#REF!</definedName>
    <definedName name="Intermitentes9">[6]REFERENCIAS!#REF!</definedName>
    <definedName name="method2">[2]Directions_Expectations!$Q$7:$Q$12</definedName>
    <definedName name="Midas">#REF!</definedName>
    <definedName name="my04stsupgrade">#REF!</definedName>
    <definedName name="n">#REF!</definedName>
    <definedName name="newcab">#REF!</definedName>
    <definedName name="newcabdesm">#REF!</definedName>
    <definedName name="newcabhx">#REF!</definedName>
    <definedName name="newcabjdb">#REF!</definedName>
    <definedName name="newcabottumwa">#REF!</definedName>
    <definedName name="newcabzw">#REF!</definedName>
    <definedName name="partstatus2">[2]Directions_Expectations!$Q$21:$Q$24</definedName>
    <definedName name="plexity">#REF!</definedName>
    <definedName name="PROVEEDORES">[3]SupplierList!#REF!</definedName>
    <definedName name="PROVEEDORES2">[3]SupplierList!$B$2:$B$168</definedName>
    <definedName name="quality">[2]Directions_Expectations!$Q$15:$Q$17</definedName>
    <definedName name="rating">#REF!</definedName>
    <definedName name="RD">#REF!</definedName>
    <definedName name="relate">#REF!</definedName>
    <definedName name="sg">#REF!</definedName>
    <definedName name="small">#REF!</definedName>
    <definedName name="smart">#REF!</definedName>
    <definedName name="smartfeedrate">#REF!</definedName>
    <definedName name="source">[2]Directions_Expectations!$Q$40:$Q$44</definedName>
    <definedName name="stshillmaster">#REF!</definedName>
    <definedName name="TEST0">#REF!</definedName>
    <definedName name="TEST1">#REF!</definedName>
    <definedName name="TESTHKEY">#REF!</definedName>
    <definedName name="TESTHKEYBIS">#REF!</definedName>
    <definedName name="TESTKEYS">#REF!</definedName>
    <definedName name="TESTVKEY">#REF!</definedName>
    <definedName name="tier2">#REF!</definedName>
    <definedName name="Tier3">#REF!</definedName>
    <definedName name="TIPO">[3]SupplierList!$K$9:$K$14</definedName>
    <definedName name="_xlnm.Print_Titles" localSheetId="5">'ENTREGABLE NEW'!$8:$9</definedName>
    <definedName name="touchset">#REF!</definedName>
    <definedName name="wwcornhead">#REF!</definedName>
    <definedName name="x57platform">#REF!</definedName>
    <definedName name="x80_90ph6">#REF!</definedName>
    <definedName name="x89class5">#REF!</definedName>
    <definedName name="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10" l="1"/>
  <c r="N17" i="10" s="1"/>
  <c r="O17" i="10" s="1"/>
  <c r="L18" i="10"/>
  <c r="N18" i="10" s="1"/>
  <c r="O18" i="10" s="1"/>
  <c r="L19" i="10"/>
  <c r="N19" i="10"/>
  <c r="O19" i="10"/>
  <c r="L20" i="10"/>
  <c r="N20" i="10"/>
  <c r="O20" i="10"/>
  <c r="L21" i="10"/>
  <c r="N21" i="10" s="1"/>
  <c r="O21" i="10" s="1"/>
  <c r="L22" i="10"/>
  <c r="N22" i="10"/>
  <c r="O22" i="10"/>
  <c r="L23" i="10"/>
  <c r="N23" i="10"/>
  <c r="O23" i="10"/>
  <c r="L24" i="10"/>
  <c r="N24" i="10" s="1"/>
  <c r="O24" i="10" s="1"/>
  <c r="L52" i="14"/>
  <c r="N52" i="14" s="1"/>
  <c r="O52" i="14" s="1"/>
  <c r="N50" i="9"/>
  <c r="O50" i="9" s="1"/>
  <c r="K145" i="7" l="1"/>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44" i="7"/>
  <c r="B93" i="7"/>
  <c r="B95" i="7"/>
  <c r="B97" i="7"/>
  <c r="B101" i="7"/>
  <c r="B103" i="7"/>
  <c r="B119" i="7"/>
  <c r="B121" i="7"/>
  <c r="B127" i="7"/>
  <c r="B129" i="7"/>
  <c r="L87"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92" i="7"/>
  <c r="C142" i="7"/>
  <c r="C143" i="7"/>
  <c r="C134" i="7"/>
  <c r="C135" i="7"/>
  <c r="C136" i="7"/>
  <c r="C137" i="7"/>
  <c r="C138" i="7"/>
  <c r="C139" i="7"/>
  <c r="C140" i="7"/>
  <c r="C141" i="7"/>
  <c r="C129" i="7"/>
  <c r="C130" i="7"/>
  <c r="C131" i="7"/>
  <c r="C132" i="7"/>
  <c r="C133" i="7"/>
  <c r="C113" i="7"/>
  <c r="C114" i="7"/>
  <c r="C115" i="7"/>
  <c r="C116" i="7"/>
  <c r="C117" i="7"/>
  <c r="C118" i="7"/>
  <c r="C119" i="7"/>
  <c r="C120" i="7"/>
  <c r="C121" i="7"/>
  <c r="C122" i="7"/>
  <c r="C123" i="7"/>
  <c r="C124" i="7"/>
  <c r="C125" i="7"/>
  <c r="C126" i="7"/>
  <c r="C127" i="7"/>
  <c r="C128" i="7"/>
  <c r="C93" i="7"/>
  <c r="C94" i="7"/>
  <c r="C95" i="7"/>
  <c r="C96" i="7"/>
  <c r="C97" i="7"/>
  <c r="C98" i="7"/>
  <c r="C99" i="7"/>
  <c r="C100" i="7"/>
  <c r="C101" i="7"/>
  <c r="C102" i="7"/>
  <c r="C103" i="7"/>
  <c r="C104" i="7"/>
  <c r="C105" i="7"/>
  <c r="C106" i="7"/>
  <c r="C107" i="7"/>
  <c r="C108" i="7"/>
  <c r="C109" i="7"/>
  <c r="C110" i="7"/>
  <c r="C111" i="7"/>
  <c r="C112" i="7"/>
  <c r="C92" i="7"/>
  <c r="K82" i="7"/>
  <c r="K83" i="7"/>
  <c r="K84" i="7"/>
  <c r="K85" i="7"/>
  <c r="K86" i="7"/>
  <c r="K87" i="7"/>
  <c r="K88" i="7"/>
  <c r="K89" i="7"/>
  <c r="K90" i="7"/>
  <c r="K91" i="7"/>
  <c r="K81" i="7"/>
  <c r="J82" i="7"/>
  <c r="J83" i="7"/>
  <c r="J84" i="7"/>
  <c r="J85" i="7"/>
  <c r="J86" i="7"/>
  <c r="J87" i="7"/>
  <c r="J88" i="7"/>
  <c r="J89" i="7"/>
  <c r="J90" i="7"/>
  <c r="J91"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52"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53" i="7"/>
  <c r="D54" i="7"/>
  <c r="D55" i="7"/>
  <c r="D56" i="7"/>
  <c r="D57" i="7"/>
  <c r="D52" i="7"/>
  <c r="C82" i="7"/>
  <c r="C83" i="7"/>
  <c r="C84" i="7"/>
  <c r="C85" i="7"/>
  <c r="C86" i="7"/>
  <c r="C87" i="7"/>
  <c r="C88" i="7"/>
  <c r="C89" i="7"/>
  <c r="C90" i="7"/>
  <c r="C91" i="7"/>
  <c r="C81"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52" i="7"/>
  <c r="K11" i="7"/>
  <c r="K12" i="7"/>
  <c r="K13" i="7"/>
  <c r="K14" i="7"/>
  <c r="K15" i="7"/>
  <c r="K16" i="7"/>
  <c r="K17" i="7"/>
  <c r="K18" i="7"/>
  <c r="K27" i="7"/>
  <c r="K28" i="7"/>
  <c r="K29" i="7"/>
  <c r="K30" i="7"/>
  <c r="K31" i="7"/>
  <c r="K32" i="7"/>
  <c r="K33" i="7"/>
  <c r="K34" i="7"/>
  <c r="K35" i="7"/>
  <c r="K36" i="7"/>
  <c r="K37" i="7"/>
  <c r="K38" i="7"/>
  <c r="K39" i="7"/>
  <c r="K40" i="7"/>
  <c r="K41" i="7"/>
  <c r="K42" i="7"/>
  <c r="K43" i="7"/>
  <c r="K44" i="7"/>
  <c r="K45" i="7"/>
  <c r="K46" i="7"/>
  <c r="K47" i="7"/>
  <c r="K48" i="7"/>
  <c r="K49" i="7"/>
  <c r="K50" i="7"/>
  <c r="K51" i="7"/>
  <c r="K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10" i="7"/>
  <c r="D6" i="7"/>
  <c r="B144" i="7" s="1"/>
  <c r="D5" i="7"/>
  <c r="B96" i="7" s="1"/>
  <c r="D4" i="7"/>
  <c r="B54" i="7" s="1"/>
  <c r="D3" i="7"/>
  <c r="B26" i="7" s="1"/>
  <c r="C6" i="7"/>
  <c r="C5" i="7"/>
  <c r="C4" i="7"/>
  <c r="C3" i="7"/>
  <c r="G48" i="15"/>
  <c r="F48" i="15"/>
  <c r="E48" i="15"/>
  <c r="D48" i="15"/>
  <c r="D6" i="14"/>
  <c r="G46" i="15" s="1"/>
  <c r="D6" i="12"/>
  <c r="F46" i="15" s="1"/>
  <c r="D6" i="10"/>
  <c r="E46" i="15" s="1"/>
  <c r="D6" i="9"/>
  <c r="D46" i="15" s="1"/>
  <c r="L54" i="12"/>
  <c r="N54" i="12" s="1"/>
  <c r="O54" i="12" s="1"/>
  <c r="L51" i="14"/>
  <c r="N51" i="14" s="1"/>
  <c r="O51" i="14" s="1"/>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B105" i="7" l="1"/>
  <c r="B143" i="7"/>
  <c r="B141" i="7"/>
  <c r="B137" i="7"/>
  <c r="B135" i="7"/>
  <c r="B133" i="7"/>
  <c r="B31" i="7"/>
  <c r="B174" i="7"/>
  <c r="B166" i="7"/>
  <c r="B179" i="7"/>
  <c r="B165" i="7"/>
  <c r="B164" i="7"/>
  <c r="B163" i="7"/>
  <c r="B162" i="7"/>
  <c r="B161" i="7"/>
  <c r="B160" i="7"/>
  <c r="B159" i="7"/>
  <c r="B158" i="7"/>
  <c r="B157" i="7"/>
  <c r="B152" i="7"/>
  <c r="B177" i="7"/>
  <c r="B155" i="7"/>
  <c r="B156" i="7"/>
  <c r="B176" i="7"/>
  <c r="B154" i="7"/>
  <c r="B178" i="7"/>
  <c r="B175" i="7"/>
  <c r="B153" i="7"/>
  <c r="B151" i="7"/>
  <c r="B150" i="7"/>
  <c r="B171" i="7"/>
  <c r="B149" i="7"/>
  <c r="B170" i="7"/>
  <c r="B148" i="7"/>
  <c r="B173" i="7"/>
  <c r="L179" i="7"/>
  <c r="B169" i="7"/>
  <c r="B147" i="7"/>
  <c r="B168" i="7"/>
  <c r="B146" i="7"/>
  <c r="B172" i="7"/>
  <c r="B167" i="7"/>
  <c r="B145" i="7"/>
  <c r="B125" i="7"/>
  <c r="L130" i="7"/>
  <c r="B117" i="7"/>
  <c r="B113" i="7"/>
  <c r="B111" i="7"/>
  <c r="B109" i="7"/>
  <c r="B24" i="7"/>
  <c r="B10" i="7"/>
  <c r="B17" i="7"/>
  <c r="B48" i="7"/>
  <c r="B12" i="7"/>
  <c r="B40" i="7"/>
  <c r="B14" i="7"/>
  <c r="B49" i="7"/>
  <c r="B39" i="7"/>
  <c r="B32" i="7"/>
  <c r="B91" i="7"/>
  <c r="B87" i="7"/>
  <c r="B85" i="7"/>
  <c r="B83" i="7"/>
  <c r="B79" i="7"/>
  <c r="B77" i="7"/>
  <c r="B75" i="7"/>
  <c r="B71" i="7"/>
  <c r="B69" i="7"/>
  <c r="B67" i="7"/>
  <c r="B63" i="7"/>
  <c r="B61" i="7"/>
  <c r="B59" i="7"/>
  <c r="B55" i="7"/>
  <c r="B53" i="7"/>
  <c r="B43" i="7"/>
  <c r="B41" i="7"/>
  <c r="B35" i="7"/>
  <c r="B37" i="7"/>
  <c r="B33" i="7"/>
  <c r="B29" i="7"/>
  <c r="B22" i="7"/>
  <c r="B20" i="7"/>
  <c r="B27" i="7"/>
  <c r="B18" i="7"/>
  <c r="B25" i="7"/>
  <c r="B16" i="7"/>
  <c r="B23" i="7"/>
  <c r="B15" i="7"/>
  <c r="B51" i="7"/>
  <c r="B47" i="7"/>
  <c r="B45" i="7"/>
  <c r="B21" i="7"/>
  <c r="B13" i="7"/>
  <c r="B46" i="7"/>
  <c r="B38" i="7"/>
  <c r="B30" i="7"/>
  <c r="B52" i="7"/>
  <c r="B84" i="7"/>
  <c r="B76" i="7"/>
  <c r="B68" i="7"/>
  <c r="B60" i="7"/>
  <c r="B92" i="7"/>
  <c r="B142" i="7"/>
  <c r="B134" i="7"/>
  <c r="B126" i="7"/>
  <c r="B118" i="7"/>
  <c r="B110" i="7"/>
  <c r="B102" i="7"/>
  <c r="B94" i="7"/>
  <c r="B19" i="7"/>
  <c r="B11" i="7"/>
  <c r="B44" i="7"/>
  <c r="B36" i="7"/>
  <c r="B28" i="7"/>
  <c r="B90" i="7"/>
  <c r="B82" i="7"/>
  <c r="B74" i="7"/>
  <c r="B66" i="7"/>
  <c r="B58" i="7"/>
  <c r="B140" i="7"/>
  <c r="B132" i="7"/>
  <c r="B124" i="7"/>
  <c r="B116" i="7"/>
  <c r="B108" i="7"/>
  <c r="B100" i="7"/>
  <c r="B89" i="7"/>
  <c r="B81" i="7"/>
  <c r="B73" i="7"/>
  <c r="B65" i="7"/>
  <c r="B57" i="7"/>
  <c r="B139" i="7"/>
  <c r="B131" i="7"/>
  <c r="B123" i="7"/>
  <c r="B115" i="7"/>
  <c r="B107" i="7"/>
  <c r="B99" i="7"/>
  <c r="B50" i="7"/>
  <c r="B42" i="7"/>
  <c r="B34" i="7"/>
  <c r="B88" i="7"/>
  <c r="B80" i="7"/>
  <c r="B72" i="7"/>
  <c r="B64" i="7"/>
  <c r="B56" i="7"/>
  <c r="B138" i="7"/>
  <c r="B130" i="7"/>
  <c r="B122" i="7"/>
  <c r="B114" i="7"/>
  <c r="B106" i="7"/>
  <c r="B98" i="7"/>
  <c r="B86" i="7"/>
  <c r="B78" i="7"/>
  <c r="B70" i="7"/>
  <c r="B62" i="7"/>
  <c r="B136" i="7"/>
  <c r="B128" i="7"/>
  <c r="B120" i="7"/>
  <c r="B112" i="7"/>
  <c r="B104" i="7"/>
  <c r="P2" i="11" l="1"/>
  <c r="N2" i="11"/>
  <c r="N50" i="14"/>
  <c r="N49" i="14"/>
  <c r="N48" i="14"/>
  <c r="N47" i="14"/>
  <c r="N46" i="14"/>
  <c r="N45" i="14"/>
  <c r="N44" i="14"/>
  <c r="L172" i="7" s="1"/>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L145" i="7" s="1"/>
  <c r="L16" i="14"/>
  <c r="N16" i="14" s="1"/>
  <c r="O32" i="14" l="1"/>
  <c r="L160" i="7"/>
  <c r="O47" i="14"/>
  <c r="L175" i="7"/>
  <c r="O23" i="14"/>
  <c r="L151" i="7"/>
  <c r="O33" i="14"/>
  <c r="L161" i="7"/>
  <c r="O36" i="14"/>
  <c r="L164" i="7"/>
  <c r="O39" i="14"/>
  <c r="L167" i="7"/>
  <c r="O24" i="14"/>
  <c r="L152" i="7"/>
  <c r="O26" i="14"/>
  <c r="L154" i="7"/>
  <c r="O49" i="14"/>
  <c r="L177" i="7"/>
  <c r="O31" i="14"/>
  <c r="L159" i="7"/>
  <c r="O25" i="14"/>
  <c r="L153" i="7"/>
  <c r="O16" i="14"/>
  <c r="L144" i="7"/>
  <c r="O40" i="14"/>
  <c r="L168" i="7"/>
  <c r="O19" i="14"/>
  <c r="L147" i="7"/>
  <c r="O42" i="14"/>
  <c r="D10" i="14" s="1"/>
  <c r="L170" i="7"/>
  <c r="O22" i="14"/>
  <c r="L150" i="7"/>
  <c r="O50" i="14"/>
  <c r="L178" i="7"/>
  <c r="O34" i="14"/>
  <c r="L162" i="7"/>
  <c r="O35" i="14"/>
  <c r="L163" i="7"/>
  <c r="O37" i="14"/>
  <c r="L165" i="7"/>
  <c r="O38" i="14"/>
  <c r="L166" i="7"/>
  <c r="O18" i="14"/>
  <c r="L146" i="7"/>
  <c r="O20" i="14"/>
  <c r="L148" i="7"/>
  <c r="O21" i="14"/>
  <c r="L149" i="7"/>
  <c r="O43" i="14"/>
  <c r="L171" i="7"/>
  <c r="O45" i="14"/>
  <c r="D11" i="14" s="1"/>
  <c r="L173" i="7"/>
  <c r="O46" i="14"/>
  <c r="L174" i="7"/>
  <c r="O48" i="14"/>
  <c r="L176" i="7"/>
  <c r="O27" i="14"/>
  <c r="L155" i="7"/>
  <c r="O28" i="14"/>
  <c r="L156" i="7"/>
  <c r="O29" i="14"/>
  <c r="L157" i="7"/>
  <c r="O30" i="14"/>
  <c r="L158" i="7"/>
  <c r="O41" i="14"/>
  <c r="D9" i="14" s="1"/>
  <c r="L169" i="7"/>
  <c r="B4" i="14"/>
  <c r="O17" i="14"/>
  <c r="F3" i="14"/>
  <c r="P6" i="11" s="1"/>
  <c r="T28" i="7" s="1"/>
  <c r="F2" i="14"/>
  <c r="O44" i="14"/>
  <c r="I2" i="14" l="1"/>
  <c r="D12" i="14"/>
  <c r="D13" i="14"/>
  <c r="N4" i="11"/>
  <c r="T30" i="7" s="1"/>
  <c r="G49" i="15"/>
  <c r="D8" i="14"/>
  <c r="I3" i="14"/>
  <c r="D7" i="14"/>
  <c r="G47" i="15" s="1"/>
  <c r="N6" i="11"/>
  <c r="L3" i="14"/>
  <c r="P8" i="11" s="1"/>
  <c r="F4" i="14"/>
  <c r="I4" i="14" l="1"/>
  <c r="N7" i="11"/>
  <c r="T29" i="7" s="1"/>
  <c r="L2" i="14" l="1"/>
  <c r="P7" i="11"/>
  <c r="N8" i="11" l="1"/>
  <c r="L4" i="14"/>
  <c r="N9" i="11" s="1"/>
  <c r="O2" i="14"/>
  <c r="L54" i="10"/>
  <c r="N54" i="10" s="1"/>
  <c r="O54" i="10" l="1"/>
  <c r="L91" i="7"/>
  <c r="O3" i="14"/>
  <c r="P9" i="11"/>
  <c r="E6" i="14" l="1"/>
  <c r="G6" i="15" s="1"/>
  <c r="E13" i="14"/>
  <c r="G13" i="15" s="1"/>
  <c r="E12" i="14"/>
  <c r="G12" i="15" s="1"/>
  <c r="E9" i="14"/>
  <c r="G9" i="15" s="1"/>
  <c r="E7" i="14"/>
  <c r="G7" i="15" s="1"/>
  <c r="E10" i="14"/>
  <c r="G10" i="15" s="1"/>
  <c r="E8" i="14"/>
  <c r="G8" i="15" s="1"/>
  <c r="E11" i="14"/>
  <c r="G11" i="15" s="1"/>
  <c r="O4" i="14"/>
  <c r="P10" i="11" s="1"/>
  <c r="N10" i="11"/>
  <c r="L49" i="9"/>
  <c r="N49" i="9" s="1"/>
  <c r="L41" i="12"/>
  <c r="N41" i="12" s="1"/>
  <c r="L39" i="12"/>
  <c r="N39" i="12" s="1"/>
  <c r="L2" i="11"/>
  <c r="J2" i="11"/>
  <c r="O41" i="12" l="1"/>
  <c r="L117" i="7"/>
  <c r="O49" i="9"/>
  <c r="L51" i="7"/>
  <c r="O39" i="12"/>
  <c r="L115" i="7"/>
  <c r="L55" i="12"/>
  <c r="N55" i="12" s="1"/>
  <c r="L65" i="12"/>
  <c r="N65" i="12" s="1"/>
  <c r="L66" i="12"/>
  <c r="N66" i="12" s="1"/>
  <c r="L67" i="12"/>
  <c r="N67" i="12" s="1"/>
  <c r="L64" i="12"/>
  <c r="N64" i="12" s="1"/>
  <c r="L63" i="12"/>
  <c r="N63" i="12" s="1"/>
  <c r="L62" i="12"/>
  <c r="N62" i="12" s="1"/>
  <c r="L61" i="12"/>
  <c r="N61" i="12" s="1"/>
  <c r="L60" i="12"/>
  <c r="N60" i="12" s="1"/>
  <c r="L59" i="12"/>
  <c r="N59" i="12" s="1"/>
  <c r="L58" i="12"/>
  <c r="N58" i="12" s="1"/>
  <c r="L57" i="12"/>
  <c r="N57" i="12" s="1"/>
  <c r="L56" i="12"/>
  <c r="N56" i="12" s="1"/>
  <c r="L51" i="12"/>
  <c r="N51" i="12" s="1"/>
  <c r="L38" i="12"/>
  <c r="N38" i="12" s="1"/>
  <c r="L33" i="12"/>
  <c r="N33" i="12" s="1"/>
  <c r="L53" i="12"/>
  <c r="N53" i="12" s="1"/>
  <c r="L52" i="12"/>
  <c r="N52" i="12" s="1"/>
  <c r="L50" i="12"/>
  <c r="N50" i="12" s="1"/>
  <c r="L49" i="12"/>
  <c r="N49" i="12" s="1"/>
  <c r="L48" i="12"/>
  <c r="N48" i="12" s="1"/>
  <c r="L47" i="12"/>
  <c r="N47" i="12" s="1"/>
  <c r="L46" i="12"/>
  <c r="N46" i="12" s="1"/>
  <c r="L45" i="12"/>
  <c r="N45" i="12" s="1"/>
  <c r="L44" i="12"/>
  <c r="N44" i="12" s="1"/>
  <c r="L43" i="12"/>
  <c r="N43" i="12" s="1"/>
  <c r="L42" i="12"/>
  <c r="N42" i="12" s="1"/>
  <c r="L118" i="7" s="1"/>
  <c r="L40" i="12"/>
  <c r="N40" i="12" s="1"/>
  <c r="L37" i="12"/>
  <c r="N37" i="12" s="1"/>
  <c r="L36" i="12"/>
  <c r="N36" i="12" s="1"/>
  <c r="L35" i="12"/>
  <c r="N35" i="12" s="1"/>
  <c r="L34" i="12"/>
  <c r="N34" i="12" s="1"/>
  <c r="L32" i="12"/>
  <c r="N32" i="12" s="1"/>
  <c r="L31" i="12"/>
  <c r="N31" i="12" s="1"/>
  <c r="L30" i="12"/>
  <c r="N30" i="12" s="1"/>
  <c r="L29" i="12"/>
  <c r="N29" i="12" s="1"/>
  <c r="L28" i="12"/>
  <c r="N28" i="12" s="1"/>
  <c r="L27" i="12"/>
  <c r="N27" i="12" s="1"/>
  <c r="L26" i="12"/>
  <c r="N26" i="12" s="1"/>
  <c r="L25" i="12"/>
  <c r="N25" i="12" s="1"/>
  <c r="L24" i="12"/>
  <c r="N24" i="12" s="1"/>
  <c r="L23" i="12"/>
  <c r="N23" i="12" s="1"/>
  <c r="L22" i="12"/>
  <c r="N22" i="12" s="1"/>
  <c r="L21" i="12"/>
  <c r="N21" i="12" s="1"/>
  <c r="L20" i="12"/>
  <c r="N20" i="12" s="1"/>
  <c r="L19" i="12"/>
  <c r="N19" i="12" s="1"/>
  <c r="L18" i="12"/>
  <c r="N18" i="12" s="1"/>
  <c r="L94" i="7" s="1"/>
  <c r="L17" i="12"/>
  <c r="N17" i="12" s="1"/>
  <c r="L16" i="12"/>
  <c r="N16" i="12" s="1"/>
  <c r="L53" i="10"/>
  <c r="N53" i="10" s="1"/>
  <c r="L25" i="10"/>
  <c r="N25" i="10" s="1"/>
  <c r="O28" i="12" l="1"/>
  <c r="L104" i="7"/>
  <c r="O29" i="12"/>
  <c r="L105" i="7"/>
  <c r="O57" i="12"/>
  <c r="L133" i="7"/>
  <c r="O34" i="12"/>
  <c r="L110" i="7"/>
  <c r="O60" i="12"/>
  <c r="L136" i="7"/>
  <c r="O63" i="12"/>
  <c r="L139" i="7"/>
  <c r="O31" i="12"/>
  <c r="L107" i="7"/>
  <c r="O61" i="12"/>
  <c r="L137" i="7"/>
  <c r="O22" i="12"/>
  <c r="L98" i="7"/>
  <c r="O27" i="12"/>
  <c r="L103" i="7"/>
  <c r="O56" i="12"/>
  <c r="D13" i="12" s="1"/>
  <c r="L132" i="7"/>
  <c r="O59" i="12"/>
  <c r="L135" i="7"/>
  <c r="O50" i="12"/>
  <c r="L126" i="7"/>
  <c r="O51" i="12"/>
  <c r="D11" i="12" s="1"/>
  <c r="L127" i="7"/>
  <c r="O58" i="12"/>
  <c r="L134" i="7"/>
  <c r="O36" i="12"/>
  <c r="L112" i="7"/>
  <c r="O62" i="12"/>
  <c r="L138" i="7"/>
  <c r="O16" i="12"/>
  <c r="L92" i="7"/>
  <c r="O17" i="12"/>
  <c r="L93" i="7"/>
  <c r="O67" i="12"/>
  <c r="L143" i="7"/>
  <c r="O66" i="12"/>
  <c r="L142" i="7"/>
  <c r="O65" i="12"/>
  <c r="L141" i="7"/>
  <c r="O55" i="12"/>
  <c r="L131" i="7"/>
  <c r="O47" i="12"/>
  <c r="L123" i="7"/>
  <c r="O52" i="12"/>
  <c r="L128" i="7"/>
  <c r="O33" i="12"/>
  <c r="L109" i="7"/>
  <c r="O30" i="12"/>
  <c r="L106" i="7"/>
  <c r="O32" i="12"/>
  <c r="L108" i="7"/>
  <c r="O35" i="12"/>
  <c r="L111" i="7"/>
  <c r="O37" i="12"/>
  <c r="L113" i="7"/>
  <c r="O64" i="12"/>
  <c r="L140" i="7"/>
  <c r="O43" i="12"/>
  <c r="L119" i="7"/>
  <c r="O44" i="12"/>
  <c r="L120" i="7"/>
  <c r="O19" i="12"/>
  <c r="L95" i="7"/>
  <c r="O45" i="12"/>
  <c r="L121" i="7"/>
  <c r="O20" i="12"/>
  <c r="L96" i="7"/>
  <c r="O46" i="12"/>
  <c r="L122" i="7"/>
  <c r="O21" i="12"/>
  <c r="L97" i="7"/>
  <c r="O48" i="12"/>
  <c r="L124" i="7"/>
  <c r="O23" i="12"/>
  <c r="L99" i="7"/>
  <c r="O49" i="12"/>
  <c r="L125" i="7"/>
  <c r="O24" i="12"/>
  <c r="L100" i="7"/>
  <c r="O25" i="12"/>
  <c r="L101" i="7"/>
  <c r="O26" i="12"/>
  <c r="D7" i="12" s="1"/>
  <c r="F47" i="15" s="1"/>
  <c r="L102" i="7"/>
  <c r="O53" i="12"/>
  <c r="L129" i="7"/>
  <c r="L60" i="7"/>
  <c r="O25" i="10"/>
  <c r="L61" i="7"/>
  <c r="L59" i="7"/>
  <c r="O53" i="10"/>
  <c r="L90" i="7"/>
  <c r="O38" i="12"/>
  <c r="L114" i="7"/>
  <c r="O40" i="12"/>
  <c r="D9" i="12" s="1"/>
  <c r="L116" i="7"/>
  <c r="O18" i="12"/>
  <c r="F3" i="12"/>
  <c r="L6" i="11" s="1"/>
  <c r="O42" i="12"/>
  <c r="F2" i="12"/>
  <c r="J6" i="11" s="1"/>
  <c r="T21" i="7" s="1"/>
  <c r="B4" i="12"/>
  <c r="D12" i="12" l="1"/>
  <c r="I2" i="12"/>
  <c r="D10" i="12"/>
  <c r="I3" i="12"/>
  <c r="D8" i="12"/>
  <c r="J4" i="11"/>
  <c r="T24" i="7" s="1"/>
  <c r="F49" i="15"/>
  <c r="F50" i="15" s="1"/>
  <c r="T27" i="7"/>
  <c r="T22" i="7"/>
  <c r="L3" i="12"/>
  <c r="L8" i="11" s="1"/>
  <c r="F4" i="12"/>
  <c r="I4" i="12" l="1"/>
  <c r="L2" i="12" s="1"/>
  <c r="J7" i="11"/>
  <c r="T23" i="7" s="1"/>
  <c r="L4" i="12" l="1"/>
  <c r="J9" i="11" s="1"/>
  <c r="O2" i="12"/>
  <c r="L9" i="11" s="1"/>
  <c r="L7" i="11"/>
  <c r="J8" i="11"/>
  <c r="L17" i="9"/>
  <c r="L18" i="9"/>
  <c r="L19" i="9"/>
  <c r="L20" i="9"/>
  <c r="L21" i="9"/>
  <c r="L22" i="9"/>
  <c r="L23" i="9"/>
  <c r="L24" i="9"/>
  <c r="L25" i="9"/>
  <c r="L26" i="9"/>
  <c r="L27" i="9"/>
  <c r="L28" i="9"/>
  <c r="L29" i="9"/>
  <c r="L30" i="9"/>
  <c r="L31" i="9"/>
  <c r="L32" i="9"/>
  <c r="L33" i="9"/>
  <c r="L34" i="9"/>
  <c r="L35" i="9"/>
  <c r="N35" i="9" s="1"/>
  <c r="L36" i="9"/>
  <c r="N36" i="9" s="1"/>
  <c r="L37" i="9"/>
  <c r="N37" i="9" s="1"/>
  <c r="L38" i="9"/>
  <c r="N38" i="9" s="1"/>
  <c r="L39" i="9"/>
  <c r="N39" i="9" s="1"/>
  <c r="L40" i="9"/>
  <c r="N40" i="9" s="1"/>
  <c r="L41" i="9"/>
  <c r="N41" i="9" s="1"/>
  <c r="L42" i="9"/>
  <c r="N42" i="9" s="1"/>
  <c r="L43" i="9"/>
  <c r="N43" i="9" s="1"/>
  <c r="L44" i="9"/>
  <c r="N44" i="9" s="1"/>
  <c r="L45" i="9"/>
  <c r="N45" i="9" s="1"/>
  <c r="L46" i="9"/>
  <c r="N46" i="9" s="1"/>
  <c r="L47" i="9"/>
  <c r="N47" i="9" s="1"/>
  <c r="L48" i="9"/>
  <c r="N48" i="9" s="1"/>
  <c r="L16" i="9"/>
  <c r="O36" i="9" l="1"/>
  <c r="L38" i="7"/>
  <c r="O43" i="9"/>
  <c r="L45" i="7"/>
  <c r="O41" i="9"/>
  <c r="L43" i="7"/>
  <c r="D7" i="9"/>
  <c r="D47" i="15" s="1"/>
  <c r="L11" i="7"/>
  <c r="O35" i="9"/>
  <c r="D9" i="9" s="1"/>
  <c r="L37" i="7"/>
  <c r="O42" i="9"/>
  <c r="L44" i="7"/>
  <c r="O48" i="9"/>
  <c r="L50" i="7"/>
  <c r="O40" i="9"/>
  <c r="D11" i="9" s="1"/>
  <c r="L42" i="7"/>
  <c r="O44" i="9"/>
  <c r="L46" i="7"/>
  <c r="O47" i="9"/>
  <c r="L49" i="7"/>
  <c r="O39" i="9"/>
  <c r="L41" i="7"/>
  <c r="O46" i="9"/>
  <c r="L48" i="7"/>
  <c r="O38" i="9"/>
  <c r="L40" i="7"/>
  <c r="O45" i="9"/>
  <c r="L47" i="7"/>
  <c r="O37" i="9"/>
  <c r="L39" i="7"/>
  <c r="O3" i="12"/>
  <c r="L52" i="10"/>
  <c r="N52" i="10" s="1"/>
  <c r="L51" i="10"/>
  <c r="N51" i="10" s="1"/>
  <c r="L50" i="10"/>
  <c r="N50" i="10" s="1"/>
  <c r="L49" i="10"/>
  <c r="N49" i="10" s="1"/>
  <c r="L48" i="10"/>
  <c r="N48" i="10" s="1"/>
  <c r="L47" i="10"/>
  <c r="N47" i="10" s="1"/>
  <c r="L46" i="10"/>
  <c r="N46" i="10" s="1"/>
  <c r="L45" i="10"/>
  <c r="N45" i="10" s="1"/>
  <c r="L44" i="10"/>
  <c r="N44" i="10" s="1"/>
  <c r="L43" i="10"/>
  <c r="N43" i="10" s="1"/>
  <c r="L42" i="10"/>
  <c r="N42" i="10" s="1"/>
  <c r="L41" i="10"/>
  <c r="N41" i="10" s="1"/>
  <c r="L40" i="10"/>
  <c r="N40" i="10" s="1"/>
  <c r="L39" i="10"/>
  <c r="N39" i="10" s="1"/>
  <c r="L38" i="10"/>
  <c r="N38" i="10" s="1"/>
  <c r="L37" i="10"/>
  <c r="N37" i="10" s="1"/>
  <c r="L73" i="7" s="1"/>
  <c r="L36" i="10"/>
  <c r="N36" i="10" s="1"/>
  <c r="L35" i="10"/>
  <c r="N35" i="10" s="1"/>
  <c r="L34" i="10"/>
  <c r="N34" i="10" s="1"/>
  <c r="L33" i="10"/>
  <c r="N33" i="10" s="1"/>
  <c r="L32" i="10"/>
  <c r="N32" i="10" s="1"/>
  <c r="L31" i="10"/>
  <c r="N31" i="10" s="1"/>
  <c r="L30" i="10"/>
  <c r="N30" i="10" s="1"/>
  <c r="L29" i="10"/>
  <c r="N29" i="10" s="1"/>
  <c r="L65" i="7" s="1"/>
  <c r="L28" i="10"/>
  <c r="N28" i="10" s="1"/>
  <c r="L27" i="10"/>
  <c r="N27" i="10" s="1"/>
  <c r="L26" i="10"/>
  <c r="N26" i="10" s="1"/>
  <c r="L16" i="10"/>
  <c r="N16" i="10" s="1"/>
  <c r="O41" i="10" l="1"/>
  <c r="L77" i="7"/>
  <c r="O51" i="10"/>
  <c r="D12" i="10" s="1"/>
  <c r="L88" i="7"/>
  <c r="O16" i="10"/>
  <c r="L52" i="7"/>
  <c r="L54" i="7"/>
  <c r="L56" i="7"/>
  <c r="L57" i="7"/>
  <c r="O48" i="10"/>
  <c r="L84" i="7"/>
  <c r="O28" i="10"/>
  <c r="L64" i="7"/>
  <c r="O30" i="10"/>
  <c r="L66" i="7"/>
  <c r="O32" i="10"/>
  <c r="L68" i="7"/>
  <c r="O34" i="10"/>
  <c r="L70" i="7"/>
  <c r="O49" i="10"/>
  <c r="L85" i="7"/>
  <c r="O40" i="10"/>
  <c r="D11" i="10" s="1"/>
  <c r="L76" i="7"/>
  <c r="O43" i="10"/>
  <c r="L79" i="7"/>
  <c r="O46" i="10"/>
  <c r="L82" i="7"/>
  <c r="O36" i="10"/>
  <c r="L72" i="7"/>
  <c r="O42" i="10"/>
  <c r="L78" i="7"/>
  <c r="L55" i="7"/>
  <c r="O47" i="10"/>
  <c r="L83" i="7"/>
  <c r="O27" i="10"/>
  <c r="L63" i="7"/>
  <c r="O31" i="10"/>
  <c r="L67" i="7"/>
  <c r="D7" i="10"/>
  <c r="E47" i="15" s="1"/>
  <c r="F51" i="15" s="1"/>
  <c r="L53" i="7"/>
  <c r="O44" i="10"/>
  <c r="L80" i="7"/>
  <c r="L58" i="7"/>
  <c r="O26" i="10"/>
  <c r="L62" i="7"/>
  <c r="O50" i="10"/>
  <c r="L86" i="7"/>
  <c r="O52" i="10"/>
  <c r="L89" i="7"/>
  <c r="O33" i="10"/>
  <c r="L69" i="7"/>
  <c r="O38" i="10"/>
  <c r="L74" i="7"/>
  <c r="O45" i="10"/>
  <c r="L81" i="7"/>
  <c r="O35" i="10"/>
  <c r="D9" i="10" s="1"/>
  <c r="L71" i="7"/>
  <c r="O39" i="10"/>
  <c r="L75" i="7"/>
  <c r="D10" i="9"/>
  <c r="D12" i="9"/>
  <c r="O4" i="12"/>
  <c r="L10" i="11" s="1"/>
  <c r="E6" i="12"/>
  <c r="F6" i="15" s="1"/>
  <c r="E11" i="12"/>
  <c r="F11" i="15" s="1"/>
  <c r="E7" i="12"/>
  <c r="F7" i="15" s="1"/>
  <c r="E12" i="12"/>
  <c r="F12" i="15" s="1"/>
  <c r="E10" i="12"/>
  <c r="F10" i="15" s="1"/>
  <c r="E8" i="12"/>
  <c r="F8" i="15" s="1"/>
  <c r="E13" i="12"/>
  <c r="F13" i="15" s="1"/>
  <c r="E9" i="12"/>
  <c r="F9" i="15" s="1"/>
  <c r="O29" i="10"/>
  <c r="B4" i="10"/>
  <c r="E49" i="15" s="1"/>
  <c r="E50" i="15" s="1"/>
  <c r="E51" i="15" s="1"/>
  <c r="F2" i="10"/>
  <c r="O37" i="10"/>
  <c r="F3" i="10"/>
  <c r="J10" i="11"/>
  <c r="H2" i="11"/>
  <c r="F2" i="11"/>
  <c r="D2" i="11"/>
  <c r="B2" i="11"/>
  <c r="I3" i="10" l="1"/>
  <c r="D13" i="10"/>
  <c r="D8" i="10"/>
  <c r="I2" i="10"/>
  <c r="D10" i="10"/>
  <c r="F4" i="10"/>
  <c r="L3" i="10"/>
  <c r="F4" i="11"/>
  <c r="T18" i="7"/>
  <c r="T15" i="7"/>
  <c r="T16" i="7"/>
  <c r="I4" i="10" l="1"/>
  <c r="L2" i="10" s="1"/>
  <c r="H6" i="11"/>
  <c r="F6" i="11"/>
  <c r="H8" i="11"/>
  <c r="O2" i="10" l="1"/>
  <c r="L4" i="10"/>
  <c r="F7" i="11"/>
  <c r="T17" i="7"/>
  <c r="H7" i="11"/>
  <c r="O3" i="10" l="1"/>
  <c r="H9" i="11"/>
  <c r="F9" i="11"/>
  <c r="F8" i="11"/>
  <c r="O4" i="10" l="1"/>
  <c r="E6" i="10"/>
  <c r="E6" i="15" s="1"/>
  <c r="E7" i="10"/>
  <c r="E7" i="15" s="1"/>
  <c r="E13" i="10"/>
  <c r="E13" i="15" s="1"/>
  <c r="E9" i="10"/>
  <c r="E9" i="15" s="1"/>
  <c r="E12" i="10"/>
  <c r="E12" i="15" s="1"/>
  <c r="E11" i="10"/>
  <c r="E11" i="15" s="1"/>
  <c r="E10" i="10"/>
  <c r="E10" i="15" s="1"/>
  <c r="E8" i="10"/>
  <c r="E8" i="15" s="1"/>
  <c r="H10" i="11"/>
  <c r="F10" i="11" l="1"/>
  <c r="N34" i="9"/>
  <c r="N33" i="9"/>
  <c r="N32" i="9"/>
  <c r="N31" i="9"/>
  <c r="L33" i="7" s="1"/>
  <c r="N30" i="9"/>
  <c r="N29" i="9"/>
  <c r="N28" i="9"/>
  <c r="L30" i="7" s="1"/>
  <c r="N27" i="9"/>
  <c r="N26" i="9"/>
  <c r="N25" i="9"/>
  <c r="N24" i="9"/>
  <c r="N23" i="9"/>
  <c r="N22" i="9"/>
  <c r="N21" i="9"/>
  <c r="N20" i="9"/>
  <c r="N19" i="9"/>
  <c r="N18" i="9"/>
  <c r="N17" i="9"/>
  <c r="L19" i="7" s="1"/>
  <c r="L12" i="7"/>
  <c r="N16" i="9"/>
  <c r="O19" i="9" l="1"/>
  <c r="L21" i="7"/>
  <c r="O21" i="9"/>
  <c r="L23" i="7"/>
  <c r="O29" i="9"/>
  <c r="L31" i="7"/>
  <c r="O22" i="9"/>
  <c r="L24" i="7"/>
  <c r="O30" i="9"/>
  <c r="L32" i="7"/>
  <c r="O23" i="9"/>
  <c r="L25" i="7"/>
  <c r="L18" i="7"/>
  <c r="O24" i="9"/>
  <c r="L26" i="7"/>
  <c r="O16" i="9"/>
  <c r="L10" i="7"/>
  <c r="O25" i="9"/>
  <c r="L27" i="7"/>
  <c r="O33" i="9"/>
  <c r="L35" i="7"/>
  <c r="L13" i="7"/>
  <c r="O27" i="9"/>
  <c r="L29" i="7"/>
  <c r="L14" i="7"/>
  <c r="O20" i="9"/>
  <c r="L22" i="7"/>
  <c r="L15" i="7"/>
  <c r="L16" i="7"/>
  <c r="L17" i="7"/>
  <c r="B4" i="9"/>
  <c r="D49" i="15" s="1"/>
  <c r="D50" i="15" s="1"/>
  <c r="D51" i="15" s="1"/>
  <c r="D52" i="15" s="1"/>
  <c r="D53" i="15" s="1"/>
  <c r="D39" i="15" s="1"/>
  <c r="L34" i="7"/>
  <c r="O18" i="9"/>
  <c r="L20" i="7"/>
  <c r="O26" i="9"/>
  <c r="L28" i="7"/>
  <c r="O34" i="9"/>
  <c r="L36" i="7"/>
  <c r="O17" i="9"/>
  <c r="F2" i="9"/>
  <c r="O31" i="9"/>
  <c r="O32" i="9"/>
  <c r="O28" i="9"/>
  <c r="F3" i="9"/>
  <c r="K36" i="8"/>
  <c r="G35" i="8"/>
  <c r="K35" i="8" s="1"/>
  <c r="G34" i="8"/>
  <c r="K34" i="8" s="1"/>
  <c r="K33" i="8"/>
  <c r="K32" i="8"/>
  <c r="K31" i="8"/>
  <c r="K30" i="8"/>
  <c r="G30" i="8"/>
  <c r="K29" i="8"/>
  <c r="K28" i="8"/>
  <c r="K27" i="8"/>
  <c r="K26" i="8"/>
  <c r="G25" i="8"/>
  <c r="K25" i="8" s="1"/>
  <c r="K24" i="8"/>
  <c r="G24" i="8"/>
  <c r="R20" i="8"/>
  <c r="V20" i="8" s="1"/>
  <c r="V19" i="8"/>
  <c r="R19" i="8"/>
  <c r="V18" i="8"/>
  <c r="V17" i="8"/>
  <c r="G17" i="8"/>
  <c r="K17" i="8" s="1"/>
  <c r="V16" i="8"/>
  <c r="G16" i="8"/>
  <c r="K16" i="8" s="1"/>
  <c r="R15" i="8"/>
  <c r="V15" i="8" s="1"/>
  <c r="K15" i="8"/>
  <c r="V14" i="8"/>
  <c r="K14" i="8"/>
  <c r="V13" i="8"/>
  <c r="K13" i="8"/>
  <c r="V12" i="8"/>
  <c r="G12" i="8"/>
  <c r="K12" i="8" s="1"/>
  <c r="V11" i="8"/>
  <c r="K11" i="8"/>
  <c r="V10" i="8"/>
  <c r="V21" i="8" s="1"/>
  <c r="K10" i="8"/>
  <c r="V9" i="8"/>
  <c r="K9" i="8"/>
  <c r="V8" i="8"/>
  <c r="K8" i="8"/>
  <c r="K18" i="8" s="1"/>
  <c r="R7" i="8"/>
  <c r="V7" i="8" s="1"/>
  <c r="G7" i="8"/>
  <c r="K7" i="8" s="1"/>
  <c r="R6" i="8"/>
  <c r="V6" i="8" s="1"/>
  <c r="V22" i="8" s="1"/>
  <c r="G6" i="8"/>
  <c r="K6" i="8" s="1"/>
  <c r="K19" i="8" s="1"/>
  <c r="B4" i="11" l="1"/>
  <c r="T12" i="7"/>
  <c r="I3" i="9"/>
  <c r="D8" i="9"/>
  <c r="I2" i="9"/>
  <c r="D13" i="9"/>
  <c r="L17" i="11"/>
  <c r="L3" i="9"/>
  <c r="D8" i="11" s="1"/>
  <c r="B6" i="11"/>
  <c r="T9" i="7"/>
  <c r="F4" i="9"/>
  <c r="D6" i="11"/>
  <c r="T10" i="7"/>
  <c r="K20" i="8"/>
  <c r="K37" i="8"/>
  <c r="K38" i="8" s="1"/>
  <c r="V23" i="8"/>
  <c r="P17" i="11" l="1"/>
  <c r="D17" i="11"/>
  <c r="H17" i="11"/>
  <c r="T11" i="7"/>
  <c r="I4" i="9"/>
  <c r="D7" i="11" s="1"/>
  <c r="B7" i="11"/>
  <c r="L8" i="7"/>
  <c r="N7" i="7"/>
  <c r="Q9" i="7"/>
  <c r="P9" i="7"/>
  <c r="O9" i="7"/>
  <c r="N9" i="7"/>
  <c r="F12" i="11" l="1"/>
  <c r="H12" i="11" s="1"/>
  <c r="F13" i="11" s="1"/>
  <c r="F14" i="11" s="1"/>
  <c r="B12" i="11"/>
  <c r="D12" i="11" s="1"/>
  <c r="B13" i="11" s="1"/>
  <c r="B15" i="11" s="1"/>
  <c r="D15" i="11" s="1"/>
  <c r="J12" i="11"/>
  <c r="L12" i="11" s="1"/>
  <c r="J13" i="11" s="1"/>
  <c r="J14" i="11" s="1"/>
  <c r="N12" i="11"/>
  <c r="P12" i="11" s="1"/>
  <c r="N13" i="11" s="1"/>
  <c r="N14" i="11" s="1"/>
  <c r="T19" i="7"/>
  <c r="L2" i="9"/>
  <c r="D14" i="11" l="1"/>
  <c r="B14" i="11"/>
  <c r="B19" i="11" s="1"/>
  <c r="E19" i="11" s="1"/>
  <c r="T13" i="7"/>
  <c r="T25" i="7"/>
  <c r="T31" i="7"/>
  <c r="P14" i="11"/>
  <c r="N15" i="11"/>
  <c r="N17" i="11" s="1"/>
  <c r="J15" i="11"/>
  <c r="L14" i="11"/>
  <c r="F15" i="11"/>
  <c r="H14" i="11"/>
  <c r="O2" i="9"/>
  <c r="D9" i="11" s="1"/>
  <c r="L4" i="9"/>
  <c r="B9" i="11" s="1"/>
  <c r="B8" i="11"/>
  <c r="E22" i="15" l="1"/>
  <c r="E23" i="15" s="1"/>
  <c r="F23" i="15" s="1"/>
  <c r="D38" i="15"/>
  <c r="Q13" i="7"/>
  <c r="P15" i="11"/>
  <c r="Q11" i="7" s="1"/>
  <c r="H15" i="11"/>
  <c r="O11" i="7" s="1"/>
  <c r="P13" i="7"/>
  <c r="L15" i="11"/>
  <c r="P11" i="7" s="1"/>
  <c r="H19" i="11"/>
  <c r="J17" i="11"/>
  <c r="F17" i="11"/>
  <c r="O13" i="7"/>
  <c r="N13" i="7"/>
  <c r="N11" i="7"/>
  <c r="O3" i="9"/>
  <c r="F22" i="15" l="1"/>
  <c r="B10" i="11"/>
  <c r="B17" i="11" s="1"/>
  <c r="E10" i="9"/>
  <c r="D10" i="15" s="1"/>
  <c r="H10" i="15" s="1"/>
  <c r="E11" i="9"/>
  <c r="D11" i="15" s="1"/>
  <c r="H11" i="15" s="1"/>
  <c r="E13" i="9"/>
  <c r="D13" i="15" s="1"/>
  <c r="H13" i="15" s="1"/>
  <c r="E8" i="9"/>
  <c r="D8" i="15" s="1"/>
  <c r="H8" i="15" s="1"/>
  <c r="E6" i="9"/>
  <c r="D6" i="15" s="1"/>
  <c r="H6" i="15" s="1"/>
  <c r="E7" i="9"/>
  <c r="D7" i="15" s="1"/>
  <c r="H7" i="15" s="1"/>
  <c r="E9" i="9"/>
  <c r="D9" i="15" s="1"/>
  <c r="H9" i="15" s="1"/>
  <c r="E12" i="9"/>
  <c r="D12" i="15" s="1"/>
  <c r="H12" i="15" s="1"/>
  <c r="O4" i="9"/>
  <c r="D10"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Morales Javier</author>
    <author>tc={4B93B57D-1C70-4091-96FB-13F89276323B}</author>
  </authors>
  <commentList>
    <comment ref="M27" authorId="0" shapeId="0" xr:uid="{3B21EA5D-7760-4199-9E24-E0A491D34D56}">
      <text>
        <r>
          <rPr>
            <b/>
            <sz val="9"/>
            <color indexed="81"/>
            <rFont val="Tahoma"/>
            <family val="2"/>
          </rPr>
          <t>Morales Javier:</t>
        </r>
        <r>
          <rPr>
            <sz val="9"/>
            <color indexed="81"/>
            <rFont val="Tahoma"/>
            <family val="2"/>
          </rPr>
          <t xml:space="preserve">
2/t</t>
        </r>
      </text>
    </comment>
    <comment ref="M28" authorId="0" shapeId="0" xr:uid="{DF99063B-BA97-47FF-B834-1ABFD9391E2E}">
      <text>
        <r>
          <rPr>
            <b/>
            <sz val="9"/>
            <color indexed="81"/>
            <rFont val="Tahoma"/>
            <family val="2"/>
          </rPr>
          <t>Morales Javier:</t>
        </r>
        <r>
          <rPr>
            <sz val="9"/>
            <color indexed="81"/>
            <rFont val="Tahoma"/>
            <family val="2"/>
          </rPr>
          <t xml:space="preserve">
2/t</t>
        </r>
      </text>
    </comment>
    <comment ref="M31" authorId="0" shapeId="0" xr:uid="{A5964BAC-7818-4752-AEBA-94E9CA3B13E9}">
      <text>
        <r>
          <rPr>
            <b/>
            <sz val="9"/>
            <color indexed="81"/>
            <rFont val="Tahoma"/>
            <family val="2"/>
          </rPr>
          <t>Morales Javier:</t>
        </r>
        <r>
          <rPr>
            <sz val="9"/>
            <color indexed="81"/>
            <rFont val="Tahoma"/>
            <family val="2"/>
          </rPr>
          <t xml:space="preserve">
2/t</t>
        </r>
      </text>
    </comment>
    <comment ref="M32" authorId="0" shapeId="0" xr:uid="{8668834D-04DC-4933-9267-F0531A4848DD}">
      <text>
        <r>
          <rPr>
            <b/>
            <sz val="9"/>
            <color indexed="81"/>
            <rFont val="Tahoma"/>
            <family val="2"/>
          </rPr>
          <t>Morales Javier:</t>
        </r>
        <r>
          <rPr>
            <sz val="9"/>
            <color indexed="81"/>
            <rFont val="Tahoma"/>
            <family val="2"/>
          </rPr>
          <t xml:space="preserve">
2/t</t>
        </r>
      </text>
    </comment>
    <comment ref="M33" authorId="0" shapeId="0" xr:uid="{D18B75AB-1D17-43BF-A637-3CF26FC9CDE5}">
      <text>
        <r>
          <rPr>
            <b/>
            <sz val="9"/>
            <color indexed="81"/>
            <rFont val="Tahoma"/>
            <family val="2"/>
          </rPr>
          <t>Morales Javier:</t>
        </r>
        <r>
          <rPr>
            <sz val="9"/>
            <color indexed="81"/>
            <rFont val="Tahoma"/>
            <family val="2"/>
          </rPr>
          <t xml:space="preserve">
2/t</t>
        </r>
      </text>
    </comment>
    <comment ref="M34" authorId="0" shapeId="0" xr:uid="{6E70954B-30D1-4DD6-85AD-3D0331DFA05C}">
      <text>
        <r>
          <rPr>
            <b/>
            <sz val="9"/>
            <color indexed="81"/>
            <rFont val="Tahoma"/>
            <family val="2"/>
          </rPr>
          <t>Morales Javier:</t>
        </r>
        <r>
          <rPr>
            <sz val="9"/>
            <color indexed="81"/>
            <rFont val="Tahoma"/>
            <family val="2"/>
          </rPr>
          <t xml:space="preserve">
2/t</t>
        </r>
      </text>
    </comment>
    <comment ref="J51" authorId="1" shapeId="0" xr:uid="{4B93B57D-1C70-4091-96FB-13F89276323B}">
      <text>
        <t>[Threaded comment]
Your version of Excel allows you to read this threaded comment; however, any edits to it will get removed if the file is opened in a newer version of Excel. Learn more: https://go.microsoft.com/fwlink/?linkid=870924
Comment:
    Estos datos los he copiado del Torno, habría que ponerlos correctamente creo o dejar algo para que no estropee tus cálculos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Morales Javier</author>
    <author>tc={A160DE87-A270-4627-A2DE-FB67E76D9FE4}</author>
  </authors>
  <commentList>
    <comment ref="M26" authorId="0" shapeId="0" xr:uid="{C931A2C7-4D32-46B1-9A88-879761B1E34A}">
      <text>
        <r>
          <rPr>
            <b/>
            <sz val="9"/>
            <color indexed="81"/>
            <rFont val="Tahoma"/>
            <family val="2"/>
          </rPr>
          <t>Morales Javier:</t>
        </r>
        <r>
          <rPr>
            <sz val="9"/>
            <color indexed="81"/>
            <rFont val="Tahoma"/>
            <family val="2"/>
          </rPr>
          <t xml:space="preserve">
2/t</t>
        </r>
      </text>
    </comment>
    <comment ref="M27" authorId="0" shapeId="0" xr:uid="{52A5ADEC-7CAF-4894-B878-F04059BABAB4}">
      <text>
        <r>
          <rPr>
            <b/>
            <sz val="9"/>
            <color indexed="81"/>
            <rFont val="Tahoma"/>
            <family val="2"/>
          </rPr>
          <t>Morales Javier:</t>
        </r>
        <r>
          <rPr>
            <sz val="9"/>
            <color indexed="81"/>
            <rFont val="Tahoma"/>
            <family val="2"/>
          </rPr>
          <t xml:space="preserve">
2/t</t>
        </r>
      </text>
    </comment>
    <comment ref="M30" authorId="0" shapeId="0" xr:uid="{A647CA23-D0D6-4385-9409-773C4507B4ED}">
      <text>
        <r>
          <rPr>
            <b/>
            <sz val="9"/>
            <color indexed="81"/>
            <rFont val="Tahoma"/>
            <family val="2"/>
          </rPr>
          <t>Morales Javier:</t>
        </r>
        <r>
          <rPr>
            <sz val="9"/>
            <color indexed="81"/>
            <rFont val="Tahoma"/>
            <family val="2"/>
          </rPr>
          <t xml:space="preserve">
2/t</t>
        </r>
      </text>
    </comment>
    <comment ref="M31" authorId="0" shapeId="0" xr:uid="{322D235E-3D87-446E-A808-14E485B38DBB}">
      <text>
        <r>
          <rPr>
            <b/>
            <sz val="9"/>
            <color indexed="81"/>
            <rFont val="Tahoma"/>
            <family val="2"/>
          </rPr>
          <t>Morales Javier:</t>
        </r>
        <r>
          <rPr>
            <sz val="9"/>
            <color indexed="81"/>
            <rFont val="Tahoma"/>
            <family val="2"/>
          </rPr>
          <t xml:space="preserve">
2/t</t>
        </r>
      </text>
    </comment>
    <comment ref="M32" authorId="0" shapeId="0" xr:uid="{31F338F7-D5B6-4C5D-A87C-1B860C8F1762}">
      <text>
        <r>
          <rPr>
            <b/>
            <sz val="9"/>
            <color indexed="81"/>
            <rFont val="Tahoma"/>
            <family val="2"/>
          </rPr>
          <t>Morales Javier:</t>
        </r>
        <r>
          <rPr>
            <sz val="9"/>
            <color indexed="81"/>
            <rFont val="Tahoma"/>
            <family val="2"/>
          </rPr>
          <t xml:space="preserve">
2/t</t>
        </r>
      </text>
    </comment>
    <comment ref="M33" authorId="0" shapeId="0" xr:uid="{EC657A7B-66AB-487F-A30E-968FA0829CE2}">
      <text>
        <r>
          <rPr>
            <b/>
            <sz val="9"/>
            <color indexed="81"/>
            <rFont val="Tahoma"/>
            <family val="2"/>
          </rPr>
          <t>Morales Javier:</t>
        </r>
        <r>
          <rPr>
            <sz val="9"/>
            <color indexed="81"/>
            <rFont val="Tahoma"/>
            <family val="2"/>
          </rPr>
          <t xml:space="preserve">
2/t</t>
        </r>
      </text>
    </comment>
    <comment ref="J55" authorId="1" shapeId="0" xr:uid="{A160DE87-A270-4627-A2DE-FB67E76D9FE4}">
      <text>
        <t>[Threaded comment]
Your version of Excel allows you to read this threaded comment; however, any edits to it will get removed if the file is opened in a newer version of Excel. Learn more: https://go.microsoft.com/fwlink/?linkid=870924
Comment:
    Estos datos los he copiado del Torno, habría que ponerlos correctamente creo o dejar algo para que no estropee tus cálculos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tc={422D2D13-02DB-4145-8D2B-B2B2AB52F2CA}</author>
  </authors>
  <commentList>
    <comment ref="J68" authorId="0" shapeId="0" xr:uid="{422D2D13-02DB-4145-8D2B-B2B2AB52F2CA}">
      <text>
        <t>[Threaded comment]
Your version of Excel allows you to read this threaded comment; however, any edits to it will get removed if the file is opened in a newer version of Excel. Learn more: https://go.microsoft.com/fwlink/?linkid=870924
Comment:
    Estos datos los he copiado del Torno, habría que ponerlos correctamente creo o dejar algo para que no estropee tus cálculos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tc={0C00D369-20E3-4415-86AF-565CDA811183}</author>
  </authors>
  <commentList>
    <comment ref="J53" authorId="0" shapeId="0" xr:uid="{0C00D369-20E3-4415-86AF-565CDA811183}">
      <text>
        <t>[Threaded comment]
Your version of Excel allows you to read this threaded comment; however, any edits to it will get removed if the file is opened in a newer version of Excel. Learn more: https://go.microsoft.com/fwlink/?linkid=870924
Comment:
    Estos datos los he copiado del Torno, habría que ponerlos correctamente creo o dejar algo para que no estropee tus cálculos</t>
      </text>
    </comment>
  </commentList>
</comments>
</file>

<file path=xl/sharedStrings.xml><?xml version="1.0" encoding="utf-8"?>
<sst xmlns="http://schemas.openxmlformats.org/spreadsheetml/2006/main" count="1181" uniqueCount="270">
  <si>
    <t>REFERENCIA</t>
  </si>
  <si>
    <t>R120638</t>
  </si>
  <si>
    <t>SECUENCIA DE EVENTOS</t>
  </si>
  <si>
    <t>Min. Std "D"</t>
  </si>
  <si>
    <t>Min. Std "D"(P&amp;F)/1,3</t>
  </si>
  <si>
    <t>Ciclos posibles</t>
  </si>
  <si>
    <t>P&amp;Fi</t>
  </si>
  <si>
    <t>Nº piezas
autonomía</t>
  </si>
  <si>
    <t>CELULA</t>
  </si>
  <si>
    <t>142A</t>
  </si>
  <si>
    <t>Min. Std "R"</t>
  </si>
  <si>
    <t>Min. Std "R"(P&amp;F)/1,3</t>
  </si>
  <si>
    <t>Ciclos posibles Hombre</t>
  </si>
  <si>
    <t>Piezas</t>
  </si>
  <si>
    <t>MC</t>
  </si>
  <si>
    <t>Ida</t>
  </si>
  <si>
    <t>C.W</t>
  </si>
  <si>
    <t>Min.de trabajo manual</t>
  </si>
  <si>
    <t>Std</t>
  </si>
  <si>
    <t>Carga</t>
  </si>
  <si>
    <t>Traslados.</t>
  </si>
  <si>
    <t>Verificación</t>
  </si>
  <si>
    <t>Descarga</t>
  </si>
  <si>
    <t>Limpieza</t>
  </si>
  <si>
    <t>Cambio de carga</t>
  </si>
  <si>
    <t>Grafico</t>
  </si>
  <si>
    <t>CH</t>
  </si>
  <si>
    <t>MAQUINA</t>
  </si>
  <si>
    <t>Nº</t>
  </si>
  <si>
    <t>ELEMENTO</t>
  </si>
  <si>
    <t>TIPO</t>
  </si>
  <si>
    <t>T1</t>
  </si>
  <si>
    <t>T2</t>
  </si>
  <si>
    <t>T3</t>
  </si>
  <si>
    <t>T4</t>
  </si>
  <si>
    <t>T5</t>
  </si>
  <si>
    <t>AC</t>
  </si>
  <si>
    <t>P&amp;F</t>
  </si>
  <si>
    <t>MINUTOS STD</t>
  </si>
  <si>
    <t>OCURRENCIA</t>
  </si>
  <si>
    <t>MIN STD/CICLO</t>
  </si>
  <si>
    <t>MIN STD/CICLO (P&amp;F)</t>
  </si>
  <si>
    <t>DESCRIPCIÓN</t>
  </si>
  <si>
    <t>TORNO</t>
  </si>
  <si>
    <t>TORNEAR</t>
  </si>
  <si>
    <t>M</t>
  </si>
  <si>
    <t>Tiempo de máquina</t>
  </si>
  <si>
    <t>CH.-Abrir puertas y desplazar torreta a posición de trabajo</t>
  </si>
  <si>
    <t>D</t>
  </si>
  <si>
    <t>CH.-Cambio (12) herramientas 2º cabezal, soplando herramienta y gitando torreta.</t>
  </si>
  <si>
    <t>CH.- Cambio (12) herramientas 1º cabezal, soplando herramienta  y girando torreta.</t>
  </si>
  <si>
    <t>CH.- Posicionar cabezales, cerrar puertas e iniciar programa de medición.</t>
  </si>
  <si>
    <t>CH.-Medición de herramientas.</t>
  </si>
  <si>
    <t>CH.- Hacer pieza y medir hasta corregir,</t>
  </si>
  <si>
    <t>CH.- Llenado de cinta de paso torno-talladora.</t>
  </si>
  <si>
    <t>CH.-Rearmar talladora.</t>
  </si>
  <si>
    <t>Medir pieza en inicio de turno. MEDICIÓN=0,691</t>
  </si>
  <si>
    <t>R</t>
  </si>
  <si>
    <t>TALLADORA</t>
  </si>
  <si>
    <t>TALLAR</t>
  </si>
  <si>
    <t>Soplar con manguera de aire pieza a verificar.</t>
  </si>
  <si>
    <t>Tol. Verificar con micro de platillos. 36,07-36,04. F-72=,114+,072=,186</t>
  </si>
  <si>
    <t>MARCADORA</t>
  </si>
  <si>
    <t>MARCAR</t>
  </si>
  <si>
    <t>AFEITADORA</t>
  </si>
  <si>
    <t>AFEITAR</t>
  </si>
  <si>
    <t>Tol. Verificar con micro de platillos. 36,00-35,97. F-72=,114+,072=,186</t>
  </si>
  <si>
    <t>Tol. Verificar visual rebaba y chaflan</t>
  </si>
  <si>
    <t>Tol. Verificación visual de referencia.</t>
  </si>
  <si>
    <t>Descargar piezas de carril de afeitadora a percha.</t>
  </si>
  <si>
    <t>Posicionarse vacio en bandeja de piezas sin procesar. 10m G958=0,166</t>
  </si>
  <si>
    <t>VARIOS</t>
  </si>
  <si>
    <t>Traslado a zona de trabajo, según porceda. (20m G-982= 0,323)</t>
  </si>
  <si>
    <t>Limpiar virutas de torno con manguera de aire y gancho.</t>
  </si>
  <si>
    <t>Limpiar virutas de talladora con manguera de aire.</t>
  </si>
  <si>
    <t>Girar bandeja de piezas 180º</t>
  </si>
  <si>
    <t>BIN PICKING</t>
  </si>
  <si>
    <t>Cambio de carga bandejas PSP</t>
  </si>
  <si>
    <t>Cambio de carga bandejas PP</t>
  </si>
  <si>
    <t>Cumplementar parametros de control de calidad de forma manual.(1)</t>
  </si>
  <si>
    <t>Grabar datos registrados con pulsador.</t>
  </si>
  <si>
    <t>Modificar pantalla, seleccionar referencia de combinación.</t>
  </si>
  <si>
    <t>Limpiar pieza y secar</t>
  </si>
  <si>
    <t xml:space="preserve">Desplazarse con pieza a verificación, apuntar referencia en papel y dejar. 20 Mts </t>
  </si>
  <si>
    <t>Coger pieza y desplazarse a celula.40 MTS G-1041=,642</t>
  </si>
  <si>
    <t>Coger pieza y desplazarse a celula. 30 MTS A-119=,076+,417=,492</t>
  </si>
  <si>
    <t>Cambio fresa madre</t>
  </si>
  <si>
    <t>Cambio disco afeitado</t>
  </si>
  <si>
    <t>R120636</t>
  </si>
  <si>
    <t>142B</t>
  </si>
  <si>
    <t>Posicionarse vacio en zona de descarga de afeitadora.</t>
  </si>
  <si>
    <t>Tol. Verificar con calibre de herradura.  Ø 90,15 ± 0,10 F 14=0,081+0,046=0,127</t>
  </si>
  <si>
    <t>Tol. Verificar galga distancia 32 ± 0,2 y 16 ± 0,05</t>
  </si>
  <si>
    <t>Tol. Verificar Salto entre caras. máximo 0,03</t>
  </si>
  <si>
    <t>Tol. Verificar calibre distancia 15 ± 0,05</t>
  </si>
  <si>
    <t>Tol. Verificar Calibre cota (S) 13,50 ± 0,13</t>
  </si>
  <si>
    <t>Tol. Verificar Calibre cono (S) 7º 9' 10'' ± 0,4º (±0,06 mm en el reloj)</t>
  </si>
  <si>
    <t>Tol. Verificar micro de platillos. 36,57-36,60</t>
  </si>
  <si>
    <t>REBERBADORA</t>
  </si>
  <si>
    <t>REBARBADORA</t>
  </si>
  <si>
    <t>Tol. Verificar micro de platillos.36,50 - 36,53</t>
  </si>
  <si>
    <t>Tol. Verificación visual chaflanado y reberbado</t>
  </si>
  <si>
    <t>LAVADORA</t>
  </si>
  <si>
    <t>LAVAR</t>
  </si>
  <si>
    <t>Descargar a percha hasta vaciar.</t>
  </si>
  <si>
    <t>Posicionarse vacio en zona de trabajo.</t>
  </si>
  <si>
    <t xml:space="preserve">Cambio de carga bandejas PSP </t>
  </si>
  <si>
    <t xml:space="preserve">Cambio de carga bandejas PP </t>
  </si>
  <si>
    <t>CH.-Cambio  herramientas 2º cabezal, soplando herramienta y gitando torreta.</t>
  </si>
  <si>
    <t>CH.- Cambio  herramientas 1º cabezal, soplando herramienta  y girando torreta.</t>
  </si>
  <si>
    <t>Desplazarse con pieza a verificación, apuntar referencia en papel y dejar. 20 Mts</t>
  </si>
  <si>
    <t>Coger pieza y desplazarse a celula. 40 Mts</t>
  </si>
  <si>
    <t>Coger pieza y desplazarse a celula. 30 Mts</t>
  </si>
  <si>
    <t>R544000</t>
  </si>
  <si>
    <t>142C</t>
  </si>
  <si>
    <t>MEDICIÓN</t>
  </si>
  <si>
    <t>Posicionarse en mesa para verificar. G-10 = 0,052</t>
  </si>
  <si>
    <t>Tol. Verificar calibre de herradura. (Diámetro exterior Ø 91,08 +- 0,05 F 30=0,120+0,06=0,180</t>
  </si>
  <si>
    <t xml:space="preserve">Tol. Verificar diametro chaflan.  6,09 ± 0,1 </t>
  </si>
  <si>
    <t>Tol. Verificar calibre de herradura. (Anchura Ø 32,10-32,15))</t>
  </si>
  <si>
    <t xml:space="preserve">Tol. Verificar alexómetro (Diámetro interior Ø 56,06 (+0,07 / +0,05)) </t>
  </si>
  <si>
    <t>Tol. Verificar Paralelismo</t>
  </si>
  <si>
    <t xml:space="preserve">Tol. Verificar diametro chaflan.  66,17+-0,1 </t>
  </si>
  <si>
    <t>Desplazarse a zona de trabajo. 12 M -G-293= 0,197</t>
  </si>
  <si>
    <t>Tol. Verificar micro de platillos.</t>
  </si>
  <si>
    <t>Revisar chaflan y rebaba</t>
  </si>
  <si>
    <t>BROCHADORA</t>
  </si>
  <si>
    <t>BROCHAR-MARCAR-ROBOT</t>
  </si>
  <si>
    <t>Tol. Ancho de chavetero 4,10±0,025 (ambos lados) F-25= 0,114</t>
  </si>
  <si>
    <t>Tol. Verificar calibre verdaderaposición.</t>
  </si>
  <si>
    <t>Tol. Verificar profundidad de chavetero. 58,106(+0,174, +0,014)</t>
  </si>
  <si>
    <t>Tol. Verificar calibre de relación chavetero diente. ±0,15 (chaflán 50º abajo)</t>
  </si>
  <si>
    <t>Tol. Verificación de referencia y posición de chavetero.</t>
  </si>
  <si>
    <t>Posicionarse en cinta de salida de lavadora. G-157= 0,086</t>
  </si>
  <si>
    <t>Piezas de cinta de salida a percha.</t>
  </si>
  <si>
    <t>Limpiar torno con manguera de aire y gancho.</t>
  </si>
  <si>
    <t>Retirar viruta con gancho de cinta a contenedor en parte lateral</t>
  </si>
  <si>
    <t>Limpiar virutas de torno final de la jornada.</t>
  </si>
  <si>
    <t>Limpiar talladora con soplador.</t>
  </si>
  <si>
    <t>Limpiar talladora zona trasera.</t>
  </si>
  <si>
    <t>Poner contador de  shifting a cero.</t>
  </si>
  <si>
    <t>Limpiar virutas en chamfer</t>
  </si>
  <si>
    <t>Limpiar pinzas de robot, asiento de piezas en marpos, y maquina de grabar.</t>
  </si>
  <si>
    <t>Cumplementar parametros de control de calidad.(8)</t>
  </si>
  <si>
    <t>Etiquetas gear flow</t>
  </si>
  <si>
    <t>Programa creces. Doble pieza de medición.</t>
  </si>
  <si>
    <t>Desplazarse con pieza a verificación, apuntar referencia en papel y dejar. 
30 MTS A-119=,076+,442=0,518 + 0,115</t>
  </si>
  <si>
    <t>Coger pieza y desplazarse a celula.60 MTS G-1058=,798</t>
  </si>
  <si>
    <t>Coger pieza y desplazarse a celula. 50 MTS A-119=0,846</t>
  </si>
  <si>
    <t>DZ133378</t>
  </si>
  <si>
    <t>142D</t>
  </si>
  <si>
    <t>Desplazarse vacio a zona de trabajo.</t>
  </si>
  <si>
    <t>Tol. Verificar con calibre de herradura F-49-16-16120 Ø 144,75 ± 0,05 mm. F 14=0,081+0,046*2=0,173</t>
  </si>
  <si>
    <t>Tol. Verificar con calibre de herradura F-49-16-16121  36,2 ± 0,04 mm.</t>
  </si>
  <si>
    <t>Tol. Verificar con tampon Marposs F-49-14-15200 Ø 87,649 (+0,01 / +0,04) mm.</t>
  </si>
  <si>
    <t>Tol. Verificar con comparador con marmol</t>
  </si>
  <si>
    <t>Tol. Verificar con micro de platillos  F-49-35-00021 / 013  56,07 - 56,10  F-72=,114+,072=,186</t>
  </si>
  <si>
    <t>REBARBAR</t>
  </si>
  <si>
    <t>BROCHAR</t>
  </si>
  <si>
    <t>Tol. Verificar con calibre de relación chavetero.</t>
  </si>
  <si>
    <t>Tol. Verificar ancho de chavetero. F-25=0,114</t>
  </si>
  <si>
    <t>Tol. Verificar con calibre profundidad chavetero. F-26=0,134</t>
  </si>
  <si>
    <t>Tol verificas simetria chavetero interior</t>
  </si>
  <si>
    <t>Verificación visual.</t>
  </si>
  <si>
    <t>Pieza a bandeja de salida</t>
  </si>
  <si>
    <t>Limpieza de maquinas final del turno</t>
  </si>
  <si>
    <t>Cumplementar parametros de control de calidad.(7)</t>
  </si>
  <si>
    <t>Pieza terminada</t>
  </si>
  <si>
    <t>ESTUDIO COMBINACIÓN DE CÉLULAS</t>
  </si>
  <si>
    <t>REFERENCIA_1</t>
  </si>
  <si>
    <t>CELULA_1</t>
  </si>
  <si>
    <t>REFERENCIA_2</t>
  </si>
  <si>
    <t>CELULA_2</t>
  </si>
  <si>
    <t>REFERENCIA_3</t>
  </si>
  <si>
    <t>CELULA_3</t>
  </si>
  <si>
    <t>REFERENCIA_4</t>
  </si>
  <si>
    <t>CELULA_4</t>
  </si>
  <si>
    <t>T. MAQUINA</t>
  </si>
  <si>
    <t>C.W.I</t>
  </si>
  <si>
    <t>Ciclos Posibles</t>
  </si>
  <si>
    <t>Ciclos Posibles H.</t>
  </si>
  <si>
    <t>Min.Trabajo Manual</t>
  </si>
  <si>
    <t>Piezas ind.</t>
  </si>
  <si>
    <t>Std. Ind</t>
  </si>
  <si>
    <t>Ida Combinado</t>
  </si>
  <si>
    <t>C.W.C</t>
  </si>
  <si>
    <t>Ciclos Posibles C</t>
  </si>
  <si>
    <t>Tª Trabajo C</t>
  </si>
  <si>
    <t>P&amp;Fc</t>
  </si>
  <si>
    <t>Piezas Com.</t>
  </si>
  <si>
    <t>Std Comb.</t>
  </si>
  <si>
    <t>Perdida Vs Ind</t>
  </si>
  <si>
    <t>Ratio</t>
  </si>
  <si>
    <t>Minutos manuales hombre</t>
  </si>
  <si>
    <t>Minutos libres hombre.</t>
  </si>
  <si>
    <t>P&amp;F Comb.</t>
  </si>
  <si>
    <t>REFERENCIA 1</t>
  </si>
  <si>
    <t>FECHA</t>
  </si>
  <si>
    <t>REFERENCIA 2</t>
  </si>
  <si>
    <t>OPERARIO</t>
  </si>
  <si>
    <t>REFERENCIA 3</t>
  </si>
  <si>
    <t>INGENIERO</t>
  </si>
  <si>
    <t>Std de trabajo John Deere Ibérica</t>
  </si>
  <si>
    <t>REFERENCIA 4</t>
  </si>
  <si>
    <t>CÉLULA</t>
  </si>
  <si>
    <t>FASE</t>
  </si>
  <si>
    <t>DESCRIPCIÓN DE ELEMTOS</t>
  </si>
  <si>
    <t>STD 1</t>
  </si>
  <si>
    <t>STD 2</t>
  </si>
  <si>
    <t>STD 3</t>
  </si>
  <si>
    <t>STD 4</t>
  </si>
  <si>
    <t>Pzas mínimas 1</t>
  </si>
  <si>
    <t>Pzas mínimas 2</t>
  </si>
  <si>
    <t>Pzas mínimas 3</t>
  </si>
  <si>
    <t>Pzas mínimas 4</t>
  </si>
  <si>
    <t>Maquina Control.</t>
  </si>
  <si>
    <t>Ida Combinado.</t>
  </si>
  <si>
    <t>Descripción.</t>
  </si>
  <si>
    <t>Razón de cambio.</t>
  </si>
  <si>
    <t>Observaciones.</t>
  </si>
  <si>
    <t>Zona de trabajo.</t>
  </si>
  <si>
    <t>Piezas por ciclo.</t>
  </si>
  <si>
    <t>El Método aprobado es el que se detalla en este formulario,ningún cambio de  
método puede ser hecho por el operario sin contar con la aprobación de la Compañía indicada por la emisión de una revisión.</t>
  </si>
  <si>
    <t>CAMBIO DE CARGA    PP</t>
  </si>
  <si>
    <t>CAMBIO DE CARGA   PSP &amp;PP</t>
  </si>
  <si>
    <t>Mtrs.</t>
  </si>
  <si>
    <t>Tipo</t>
  </si>
  <si>
    <t>Min.Std.</t>
  </si>
  <si>
    <t>Valor</t>
  </si>
  <si>
    <t>Tot.Min.Std.</t>
  </si>
  <si>
    <t>Min.</t>
  </si>
  <si>
    <t>Ir a por carretilla a zona de aparcamiento.</t>
  </si>
  <si>
    <t>Var.</t>
  </si>
  <si>
    <t>"G" datos Std</t>
  </si>
  <si>
    <t>Volver a maquina con carretilla.</t>
  </si>
  <si>
    <t>Min. Std./Mtr</t>
  </si>
  <si>
    <t>Posicionar carretilla en la bandeja y retirar.</t>
  </si>
  <si>
    <t>Cte.</t>
  </si>
  <si>
    <t>Min. Std.</t>
  </si>
  <si>
    <t>Posicionar carretilla en la bandeja vacia y retirar.</t>
  </si>
  <si>
    <t>Llevar bandeja llena a zona de almacen.</t>
  </si>
  <si>
    <t>Llevar bandeja vacia a zona de salida</t>
  </si>
  <si>
    <t>Colocar bandeja  y bajar.</t>
  </si>
  <si>
    <t>Colocar bandeja en zona de salida y bajar.</t>
  </si>
  <si>
    <t>Sacar  carretilla.</t>
  </si>
  <si>
    <t>Posicionar carretilla en la bandeja llena y retirar.</t>
  </si>
  <si>
    <t>Desplazarse con carretilla a zona de bandejas vacias</t>
  </si>
  <si>
    <t>Posicionar carretilla en bandeja  y elevar.</t>
  </si>
  <si>
    <t>Llevar bandeja en zona de descarga.</t>
  </si>
  <si>
    <t>Sacar carretilla.</t>
  </si>
  <si>
    <t>Desplazarse con carretilla a zona de bandejas con piezas.</t>
  </si>
  <si>
    <t>Llevar carretilla a zona de aparcamiento.</t>
  </si>
  <si>
    <t>Volver a zona de trabajo</t>
  </si>
  <si>
    <t>Llevar bandeja en zona de carga</t>
  </si>
  <si>
    <t>Total Mint.Stad.Constantes =</t>
  </si>
  <si>
    <t>Total Mint.Stad. Variables =</t>
  </si>
  <si>
    <t>Total Mint.Stad.=</t>
  </si>
  <si>
    <t>CAMBIO DE CARGA   PSP</t>
  </si>
  <si>
    <t>"</t>
  </si>
  <si>
    <t>R529684</t>
  </si>
  <si>
    <t>Limpieza.</t>
  </si>
  <si>
    <t>Cambio de carga.</t>
  </si>
  <si>
    <t>JORNADA</t>
  </si>
  <si>
    <t>Min. Trabajo manual</t>
  </si>
  <si>
    <t xml:space="preserve"> -</t>
  </si>
  <si>
    <t>Autonomía</t>
  </si>
  <si>
    <t>Desgarga</t>
  </si>
  <si>
    <t>Autonomía MC</t>
  </si>
  <si>
    <t>Autonomía  EST</t>
  </si>
  <si>
    <t>Minimo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</si>
</sst>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 ???/???"/>
    <numFmt numFmtId="166" formatCode="#,##0.000_);\(#,##0.000\)"/>
    <numFmt numFmtId="167" formatCode="0.00000"/>
    <numFmt numFmtId="168" formatCode="0.0000"/>
    <numFmt numFmtId="169" formatCode="0.000000"/>
    <numFmt numFmtId="170" formatCode="#\ ???/?????"/>
    <numFmt numFmtId="171" formatCode="#\ ???/????"/>
  </numFmts>
  <fonts count="17">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i/>
      <u/>
      <sz val="11"/>
      <color theme="1"/>
      <name val="Calibri"/>
      <family val="2"/>
      <scheme val="minor"/>
    </font>
    <font>
      <i/>
      <sz val="10"/>
      <color theme="1"/>
      <name val="Calibri"/>
      <family val="2"/>
      <scheme val="minor"/>
    </font>
    <font>
      <sz val="8"/>
      <name val="Calibri"/>
      <family val="2"/>
      <scheme val="minor"/>
    </font>
    <font>
      <b/>
      <sz val="14"/>
      <color theme="1"/>
      <name val="Calibri"/>
      <family val="2"/>
      <scheme val="minor"/>
    </font>
    <font>
      <b/>
      <u/>
      <sz val="14"/>
      <color theme="1"/>
      <name val="Calibri"/>
      <family val="2"/>
      <scheme val="minor"/>
    </font>
    <font>
      <b/>
      <i/>
      <sz val="12"/>
      <name val="Arial"/>
      <family val="2"/>
    </font>
    <font>
      <b/>
      <sz val="9"/>
      <name val="Arial"/>
      <family val="2"/>
    </font>
    <font>
      <b/>
      <sz val="10"/>
      <name val="Arial"/>
      <family val="2"/>
    </font>
    <font>
      <i/>
      <sz val="14"/>
      <color theme="1"/>
      <name val="Calibri"/>
      <family val="2"/>
      <scheme val="minor"/>
    </font>
    <font>
      <b/>
      <i/>
      <sz val="12"/>
      <color theme="1"/>
      <name val="Calibri"/>
      <family val="2"/>
      <scheme val="minor"/>
    </font>
    <font>
      <sz val="9"/>
      <color indexed="81"/>
      <name val="Tahoma"/>
      <family val="2"/>
    </font>
    <font>
      <b/>
      <sz val="9"/>
      <color indexed="81"/>
      <name val="Tahoma"/>
      <family val="2"/>
    </font>
  </fonts>
  <fills count="12">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gray125">
        <fgColor theme="2" tint="-9.9917600024414813E-2"/>
        <bgColor indexed="65"/>
      </patternFill>
    </fill>
    <fill>
      <patternFill patternType="solid">
        <fgColor theme="2"/>
        <bgColor indexed="64"/>
      </patternFill>
    </fill>
    <fill>
      <patternFill patternType="gray0625"/>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5" tint="0.59999389629810485"/>
        <bgColor indexed="64"/>
      </patternFill>
    </fill>
  </fills>
  <borders count="87">
    <border>
      <left/>
      <right/>
      <top/>
      <bottom/>
      <diagonal/>
    </border>
    <border>
      <left style="thin">
        <color theme="0"/>
      </left>
      <right style="thin">
        <color theme="0"/>
      </right>
      <top style="thin">
        <color theme="0"/>
      </top>
      <bottom style="thin">
        <color theme="0"/>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double">
        <color auto="1"/>
      </right>
      <top/>
      <bottom style="double">
        <color auto="1"/>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auto="1"/>
      </left>
      <right style="double">
        <color auto="1"/>
      </right>
      <top style="double">
        <color auto="1"/>
      </top>
      <bottom/>
      <diagonal/>
    </border>
    <border>
      <left style="double">
        <color auto="1"/>
      </left>
      <right/>
      <top style="double">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right style="double">
        <color indexed="64"/>
      </right>
      <top style="thin">
        <color indexed="64"/>
      </top>
      <bottom/>
      <diagonal/>
    </border>
    <border>
      <left style="double">
        <color indexed="64"/>
      </left>
      <right/>
      <top/>
      <bottom style="thin">
        <color indexed="64"/>
      </bottom>
      <diagonal/>
    </border>
    <border>
      <left/>
      <right style="double">
        <color indexed="64"/>
      </right>
      <top/>
      <bottom style="thin">
        <color indexed="64"/>
      </bottom>
      <diagonal/>
    </border>
    <border>
      <left/>
      <right style="thin">
        <color indexed="64"/>
      </right>
      <top style="thin">
        <color indexed="64"/>
      </top>
      <bottom style="thin">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double">
        <color indexed="64"/>
      </right>
      <top style="dashed">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style="dashed">
        <color indexed="64"/>
      </right>
      <top style="dashed">
        <color indexed="64"/>
      </top>
      <bottom style="double">
        <color indexed="64"/>
      </bottom>
      <diagonal/>
    </border>
    <border>
      <left style="dashed">
        <color indexed="64"/>
      </left>
      <right style="dashed">
        <color indexed="64"/>
      </right>
      <top style="dashed">
        <color indexed="64"/>
      </top>
      <bottom style="double">
        <color indexed="64"/>
      </bottom>
      <diagonal/>
    </border>
    <border>
      <left style="dashed">
        <color indexed="64"/>
      </left>
      <right style="double">
        <color indexed="64"/>
      </right>
      <top style="dashed">
        <color indexed="64"/>
      </top>
      <bottom style="double">
        <color indexed="64"/>
      </bottom>
      <diagonal/>
    </border>
    <border>
      <left style="double">
        <color auto="1"/>
      </left>
      <right style="dashed">
        <color auto="1"/>
      </right>
      <top style="double">
        <color auto="1"/>
      </top>
      <bottom style="double">
        <color auto="1"/>
      </bottom>
      <diagonal/>
    </border>
    <border>
      <left style="dashed">
        <color auto="1"/>
      </left>
      <right style="double">
        <color auto="1"/>
      </right>
      <top style="double">
        <color auto="1"/>
      </top>
      <bottom style="double">
        <color auto="1"/>
      </bottom>
      <diagonal/>
    </border>
    <border>
      <left style="dashed">
        <color indexed="64"/>
      </left>
      <right style="dashed">
        <color indexed="64"/>
      </right>
      <top style="double">
        <color indexed="64"/>
      </top>
      <bottom style="double">
        <color indexed="64"/>
      </bottom>
      <diagonal/>
    </border>
    <border>
      <left style="dashed">
        <color indexed="64"/>
      </left>
      <right/>
      <top style="double">
        <color indexed="64"/>
      </top>
      <bottom style="double">
        <color indexed="64"/>
      </bottom>
      <diagonal/>
    </border>
    <border>
      <left/>
      <right style="dashed">
        <color indexed="64"/>
      </right>
      <top style="double">
        <color indexed="64"/>
      </top>
      <bottom style="double">
        <color indexed="64"/>
      </bottom>
      <diagonal/>
    </border>
    <border>
      <left style="double">
        <color indexed="64"/>
      </left>
      <right style="dashed">
        <color indexed="64"/>
      </right>
      <top/>
      <bottom/>
      <diagonal/>
    </border>
    <border>
      <left style="dashed">
        <color indexed="64"/>
      </left>
      <right style="dashed">
        <color indexed="64"/>
      </right>
      <top/>
      <bottom/>
      <diagonal/>
    </border>
    <border>
      <left style="dashed">
        <color indexed="64"/>
      </left>
      <right/>
      <top/>
      <bottom/>
      <diagonal/>
    </border>
    <border>
      <left style="dashed">
        <color indexed="64"/>
      </left>
      <right style="double">
        <color indexed="64"/>
      </right>
      <top/>
      <bottom/>
      <diagonal/>
    </border>
    <border>
      <left/>
      <right style="dashed">
        <color indexed="64"/>
      </right>
      <top/>
      <bottom/>
      <diagonal/>
    </border>
    <border>
      <left style="double">
        <color auto="1"/>
      </left>
      <right style="double">
        <color auto="1"/>
      </right>
      <top/>
      <bottom/>
      <diagonal/>
    </border>
    <border>
      <left style="double">
        <color auto="1"/>
      </left>
      <right/>
      <top style="double">
        <color auto="1"/>
      </top>
      <bottom style="hair">
        <color auto="1"/>
      </bottom>
      <diagonal/>
    </border>
    <border>
      <left/>
      <right/>
      <top style="double">
        <color auto="1"/>
      </top>
      <bottom style="hair">
        <color auto="1"/>
      </bottom>
      <diagonal/>
    </border>
    <border>
      <left/>
      <right style="double">
        <color auto="1"/>
      </right>
      <top style="double">
        <color auto="1"/>
      </top>
      <bottom style="hair">
        <color auto="1"/>
      </bottom>
      <diagonal/>
    </border>
    <border>
      <left style="double">
        <color auto="1"/>
      </left>
      <right/>
      <top style="hair">
        <color auto="1"/>
      </top>
      <bottom style="hair">
        <color auto="1"/>
      </bottom>
      <diagonal/>
    </border>
    <border>
      <left/>
      <right/>
      <top style="hair">
        <color auto="1"/>
      </top>
      <bottom style="hair">
        <color auto="1"/>
      </bottom>
      <diagonal/>
    </border>
    <border>
      <left/>
      <right style="double">
        <color auto="1"/>
      </right>
      <top style="hair">
        <color auto="1"/>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style="thin">
        <color auto="1"/>
      </right>
      <top style="double">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double">
        <color auto="1"/>
      </bottom>
      <diagonal/>
    </border>
    <border>
      <left style="double">
        <color auto="1"/>
      </left>
      <right/>
      <top style="hair">
        <color auto="1"/>
      </top>
      <bottom/>
      <diagonal/>
    </border>
    <border>
      <left/>
      <right style="thin">
        <color auto="1"/>
      </right>
      <top style="hair">
        <color auto="1"/>
      </top>
      <bottom/>
      <diagonal/>
    </border>
    <border>
      <left/>
      <right/>
      <top style="hair">
        <color auto="1"/>
      </top>
      <bottom/>
      <diagonal/>
    </border>
    <border>
      <left/>
      <right style="double">
        <color auto="1"/>
      </right>
      <top style="hair">
        <color auto="1"/>
      </top>
      <bottom/>
      <diagonal/>
    </border>
    <border>
      <left/>
      <right style="thin">
        <color auto="1"/>
      </right>
      <top style="double">
        <color auto="1"/>
      </top>
      <bottom style="double">
        <color auto="1"/>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auto="1"/>
      </left>
      <right style="double">
        <color auto="1"/>
      </right>
      <top/>
      <bottom style="dashed">
        <color auto="1"/>
      </bottom>
      <diagonal/>
    </border>
    <border>
      <left style="dashed">
        <color auto="1"/>
      </left>
      <right style="double">
        <color auto="1"/>
      </right>
      <top/>
      <bottom style="double">
        <color auto="1"/>
      </bottom>
      <diagonal/>
    </border>
  </borders>
  <cellStyleXfs count="3">
    <xf numFmtId="0" fontId="0" fillId="0" borderId="0"/>
    <xf numFmtId="0" fontId="1" fillId="0" borderId="0"/>
    <xf numFmtId="9" fontId="1" fillId="0" borderId="0" applyFont="0" applyFill="0" applyBorder="0" applyAlignment="0" applyProtection="0"/>
  </cellStyleXfs>
  <cellXfs count="300">
    <xf numFmtId="0" fontId="0" fillId="0" borderId="0" xfId="0"/>
    <xf numFmtId="0" fontId="2" fillId="2" borderId="1" xfId="0" applyFont="1" applyFill="1" applyBorder="1" applyAlignment="1">
      <alignment horizontal="center"/>
    </xf>
    <xf numFmtId="0" fontId="2" fillId="2" borderId="1" xfId="0" applyFont="1" applyFill="1" applyBorder="1" applyAlignment="1">
      <alignment horizontal="center" vertical="center"/>
    </xf>
    <xf numFmtId="2"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xf>
    <xf numFmtId="164" fontId="0" fillId="0" borderId="0" xfId="0" applyNumberFormat="1" applyAlignment="1">
      <alignment horizontal="center"/>
    </xf>
    <xf numFmtId="13" fontId="0" fillId="0" borderId="0" xfId="0" applyNumberFormat="1" applyAlignment="1">
      <alignment horizontal="center"/>
    </xf>
    <xf numFmtId="165" fontId="0" fillId="0" borderId="0" xfId="0" applyNumberFormat="1" applyAlignment="1">
      <alignment horizontal="center"/>
    </xf>
    <xf numFmtId="0" fontId="0" fillId="0" borderId="15" xfId="0" applyBorder="1" applyAlignment="1">
      <alignment horizontal="center"/>
    </xf>
    <xf numFmtId="0" fontId="5" fillId="3" borderId="14" xfId="0" applyFont="1" applyFill="1" applyBorder="1" applyAlignment="1">
      <alignment horizontal="center" vertical="center"/>
    </xf>
    <xf numFmtId="0" fontId="6" fillId="0" borderId="14" xfId="0" applyFont="1" applyBorder="1" applyAlignment="1">
      <alignment horizontal="center" vertical="center"/>
    </xf>
    <xf numFmtId="164" fontId="6" fillId="0" borderId="14" xfId="0" applyNumberFormat="1" applyFont="1" applyBorder="1" applyAlignment="1">
      <alignment horizontal="center" vertical="center"/>
    </xf>
    <xf numFmtId="165" fontId="6" fillId="0" borderId="14" xfId="0" applyNumberFormat="1" applyFont="1" applyBorder="1" applyAlignment="1">
      <alignment horizontal="center" vertical="center"/>
    </xf>
    <xf numFmtId="0" fontId="0" fillId="0" borderId="14" xfId="0" applyBorder="1" applyAlignment="1">
      <alignment horizontal="center" vertical="center"/>
    </xf>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3" fillId="0" borderId="19" xfId="0" applyFont="1" applyBorder="1" applyAlignment="1">
      <alignment horizontal="center" vertical="center"/>
    </xf>
    <xf numFmtId="0" fontId="3" fillId="0" borderId="30" xfId="0" applyFont="1" applyBorder="1" applyAlignment="1">
      <alignment vertical="center"/>
    </xf>
    <xf numFmtId="0" fontId="0" fillId="0" borderId="30" xfId="0" applyBorder="1"/>
    <xf numFmtId="0" fontId="0" fillId="0" borderId="29" xfId="0" applyBorder="1"/>
    <xf numFmtId="0" fontId="0" fillId="0" borderId="7" xfId="0" applyBorder="1"/>
    <xf numFmtId="0" fontId="0" fillId="0" borderId="8" xfId="0" applyBorder="1"/>
    <xf numFmtId="0" fontId="0" fillId="0" borderId="9" xfId="0" applyBorder="1"/>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5" fillId="3" borderId="13" xfId="0" applyFont="1" applyFill="1" applyBorder="1" applyAlignment="1">
      <alignment horizontal="center" vertical="center"/>
    </xf>
    <xf numFmtId="0" fontId="5" fillId="3" borderId="15" xfId="0" applyFont="1" applyFill="1" applyBorder="1" applyAlignment="1">
      <alignment horizontal="center" vertical="center"/>
    </xf>
    <xf numFmtId="0" fontId="3" fillId="0" borderId="31" xfId="0" applyFont="1" applyBorder="1" applyAlignment="1">
      <alignment horizontal="center" vertical="center"/>
    </xf>
    <xf numFmtId="0" fontId="0" fillId="0" borderId="33" xfId="0" applyBorder="1"/>
    <xf numFmtId="0" fontId="0" fillId="0" borderId="32" xfId="0" applyBorder="1"/>
    <xf numFmtId="0" fontId="0" fillId="0" borderId="34" xfId="0" applyBorder="1"/>
    <xf numFmtId="0" fontId="8" fillId="0" borderId="0" xfId="0" applyFont="1" applyAlignment="1">
      <alignment vertical="center"/>
    </xf>
    <xf numFmtId="14" fontId="4" fillId="0" borderId="0" xfId="0" applyNumberFormat="1" applyFont="1"/>
    <xf numFmtId="0" fontId="0" fillId="3" borderId="17" xfId="0" applyFill="1" applyBorder="1"/>
    <xf numFmtId="0" fontId="0" fillId="3" borderId="27" xfId="0" applyFill="1" applyBorder="1"/>
    <xf numFmtId="0" fontId="4" fillId="3" borderId="27" xfId="0" applyFont="1" applyFill="1" applyBorder="1" applyAlignment="1">
      <alignment horizontal="center"/>
    </xf>
    <xf numFmtId="0" fontId="0" fillId="3" borderId="28" xfId="0" applyFill="1" applyBorder="1"/>
    <xf numFmtId="0" fontId="0" fillId="3" borderId="29" xfId="0" applyFill="1" applyBorder="1"/>
    <xf numFmtId="0" fontId="4" fillId="3" borderId="0" xfId="0" applyFont="1" applyFill="1" applyAlignment="1">
      <alignment horizontal="center" vertical="center"/>
    </xf>
    <xf numFmtId="0" fontId="0" fillId="3" borderId="0" xfId="0" applyFill="1"/>
    <xf numFmtId="0" fontId="4" fillId="3" borderId="0" xfId="0" applyFont="1" applyFill="1"/>
    <xf numFmtId="0" fontId="0" fillId="3" borderId="30" xfId="0" applyFill="1" applyBorder="1"/>
    <xf numFmtId="0" fontId="0" fillId="3" borderId="0" xfId="0" applyFill="1" applyAlignment="1">
      <alignment horizontal="center"/>
    </xf>
    <xf numFmtId="0" fontId="0" fillId="3" borderId="7" xfId="0" applyFill="1" applyBorder="1"/>
    <xf numFmtId="0" fontId="0" fillId="3" borderId="8" xfId="0" applyFill="1" applyBorder="1"/>
    <xf numFmtId="0" fontId="0" fillId="3" borderId="9" xfId="0" applyFill="1" applyBorder="1"/>
    <xf numFmtId="0" fontId="3" fillId="4" borderId="14" xfId="0" applyFont="1" applyFill="1" applyBorder="1" applyAlignment="1">
      <alignment horizontal="center" vertical="center"/>
    </xf>
    <xf numFmtId="2" fontId="0" fillId="0" borderId="13" xfId="0" applyNumberFormat="1" applyBorder="1" applyAlignment="1">
      <alignment horizontal="center" vertical="center"/>
    </xf>
    <xf numFmtId="1" fontId="0" fillId="0" borderId="13" xfId="0" applyNumberFormat="1" applyBorder="1" applyAlignment="1">
      <alignment horizontal="center" vertical="center"/>
    </xf>
    <xf numFmtId="1" fontId="0" fillId="0" borderId="14" xfId="0" applyNumberFormat="1" applyBorder="1" applyAlignment="1">
      <alignment horizontal="center" vertical="center"/>
    </xf>
    <xf numFmtId="164" fontId="3" fillId="0" borderId="30" xfId="0" applyNumberFormat="1" applyFont="1" applyBorder="1" applyAlignment="1">
      <alignment vertical="center"/>
    </xf>
    <xf numFmtId="164" fontId="3" fillId="0" borderId="30" xfId="0" applyNumberFormat="1" applyFont="1" applyBorder="1"/>
    <xf numFmtId="0" fontId="3" fillId="0" borderId="31" xfId="0" applyFont="1" applyBorder="1" applyAlignment="1">
      <alignment horizontal="left" vertical="center"/>
    </xf>
    <xf numFmtId="0" fontId="0" fillId="4" borderId="0" xfId="0" applyFill="1"/>
    <xf numFmtId="0" fontId="2" fillId="3" borderId="36" xfId="0" applyFont="1" applyFill="1" applyBorder="1" applyAlignment="1">
      <alignment horizontal="center" vertical="center"/>
    </xf>
    <xf numFmtId="0" fontId="2" fillId="3" borderId="37" xfId="0" applyFont="1" applyFill="1" applyBorder="1" applyAlignment="1">
      <alignment horizontal="center" vertical="center"/>
    </xf>
    <xf numFmtId="164" fontId="2" fillId="3" borderId="38" xfId="0" applyNumberFormat="1" applyFont="1" applyFill="1" applyBorder="1" applyAlignment="1">
      <alignment horizontal="center" vertical="center"/>
    </xf>
    <xf numFmtId="0" fontId="0" fillId="4" borderId="39" xfId="0" applyFill="1" applyBorder="1" applyAlignment="1">
      <alignment horizontal="center" vertical="center"/>
    </xf>
    <xf numFmtId="0" fontId="0" fillId="4" borderId="40" xfId="0" applyFill="1" applyBorder="1" applyAlignment="1">
      <alignment horizontal="center" vertical="center"/>
    </xf>
    <xf numFmtId="166" fontId="0" fillId="4" borderId="40" xfId="0" applyNumberFormat="1" applyFill="1" applyBorder="1" applyAlignment="1">
      <alignment vertical="center"/>
    </xf>
    <xf numFmtId="164" fontId="0" fillId="4" borderId="41" xfId="0" applyNumberFormat="1" applyFill="1" applyBorder="1" applyAlignment="1">
      <alignment horizontal="center" vertical="center"/>
    </xf>
    <xf numFmtId="164" fontId="0" fillId="4" borderId="40" xfId="0" applyNumberFormat="1" applyFill="1" applyBorder="1" applyAlignment="1">
      <alignment vertical="center"/>
    </xf>
    <xf numFmtId="0" fontId="0" fillId="4" borderId="40" xfId="0" applyFill="1" applyBorder="1" applyAlignment="1">
      <alignment horizontal="right"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0" xfId="0" applyBorder="1" applyAlignment="1">
      <alignment horizontal="right" vertical="center"/>
    </xf>
    <xf numFmtId="164" fontId="0" fillId="0" borderId="41" xfId="0" applyNumberFormat="1" applyBorder="1" applyAlignment="1">
      <alignment horizontal="center" vertical="center"/>
    </xf>
    <xf numFmtId="0" fontId="0" fillId="4" borderId="40" xfId="0" applyFill="1" applyBorder="1" applyAlignment="1">
      <alignment vertical="center"/>
    </xf>
    <xf numFmtId="0" fontId="0" fillId="0" borderId="40" xfId="0" applyBorder="1" applyAlignment="1">
      <alignment vertical="center"/>
    </xf>
    <xf numFmtId="164" fontId="0" fillId="0" borderId="40" xfId="0" applyNumberFormat="1" applyBorder="1" applyAlignment="1">
      <alignment vertical="center"/>
    </xf>
    <xf numFmtId="0" fontId="0" fillId="4" borderId="42" xfId="0" applyFill="1" applyBorder="1" applyAlignment="1">
      <alignment horizontal="center" vertical="center"/>
    </xf>
    <xf numFmtId="0" fontId="0" fillId="4" borderId="43" xfId="0" applyFill="1" applyBorder="1" applyAlignment="1">
      <alignment horizontal="center" vertical="center"/>
    </xf>
    <xf numFmtId="166" fontId="0" fillId="4" borderId="43" xfId="0" applyNumberFormat="1" applyFill="1" applyBorder="1" applyAlignment="1">
      <alignment vertical="center"/>
    </xf>
    <xf numFmtId="164" fontId="0" fillId="4" borderId="44" xfId="0" applyNumberFormat="1" applyFill="1" applyBorder="1" applyAlignment="1">
      <alignment horizontal="center" vertical="center"/>
    </xf>
    <xf numFmtId="0" fontId="0" fillId="4" borderId="17" xfId="0" applyFill="1" applyBorder="1" applyAlignment="1">
      <alignment horizontal="center"/>
    </xf>
    <xf numFmtId="0" fontId="0" fillId="4" borderId="27" xfId="0" applyFill="1" applyBorder="1"/>
    <xf numFmtId="0" fontId="12" fillId="4" borderId="27" xfId="0" applyFont="1" applyFill="1" applyBorder="1"/>
    <xf numFmtId="0" fontId="0" fillId="4" borderId="27" xfId="0" applyFill="1" applyBorder="1" applyAlignment="1">
      <alignment horizontal="center"/>
    </xf>
    <xf numFmtId="164" fontId="12" fillId="4" borderId="28" xfId="0" applyNumberFormat="1" applyFont="1" applyFill="1" applyBorder="1"/>
    <xf numFmtId="0" fontId="0" fillId="4" borderId="29" xfId="0" applyFill="1" applyBorder="1" applyAlignment="1">
      <alignment horizontal="center"/>
    </xf>
    <xf numFmtId="0" fontId="12" fillId="4" borderId="0" xfId="0" applyFont="1" applyFill="1"/>
    <xf numFmtId="0" fontId="0" fillId="4" borderId="0" xfId="0" applyFill="1" applyAlignment="1">
      <alignment horizontal="center"/>
    </xf>
    <xf numFmtId="164" fontId="12" fillId="4" borderId="30" xfId="0" applyNumberFormat="1" applyFont="1" applyFill="1" applyBorder="1"/>
    <xf numFmtId="0" fontId="0" fillId="4" borderId="7" xfId="0" applyFill="1" applyBorder="1" applyAlignment="1">
      <alignment horizontal="center"/>
    </xf>
    <xf numFmtId="0" fontId="0" fillId="4" borderId="8" xfId="0" applyFill="1" applyBorder="1"/>
    <xf numFmtId="0" fontId="12" fillId="4" borderId="8" xfId="0" applyFont="1" applyFill="1" applyBorder="1"/>
    <xf numFmtId="0" fontId="0" fillId="4" borderId="8" xfId="0" applyFill="1" applyBorder="1" applyAlignment="1">
      <alignment horizontal="center"/>
    </xf>
    <xf numFmtId="164" fontId="12" fillId="4" borderId="2" xfId="0" applyNumberFormat="1" applyFont="1" applyFill="1" applyBorder="1"/>
    <xf numFmtId="0" fontId="0" fillId="4" borderId="45" xfId="0" applyFill="1" applyBorder="1" applyAlignment="1">
      <alignment horizontal="center" vertical="center"/>
    </xf>
    <xf numFmtId="0" fontId="0" fillId="4" borderId="46" xfId="0" applyFill="1" applyBorder="1" applyAlignment="1">
      <alignment horizontal="center" vertical="center"/>
    </xf>
    <xf numFmtId="166" fontId="0" fillId="4" borderId="46" xfId="0" applyNumberFormat="1" applyFill="1" applyBorder="1" applyAlignment="1">
      <alignment vertical="center"/>
    </xf>
    <xf numFmtId="164" fontId="0" fillId="4" borderId="47" xfId="0" applyNumberFormat="1" applyFill="1" applyBorder="1" applyAlignment="1">
      <alignment horizontal="center" vertical="center"/>
    </xf>
    <xf numFmtId="0" fontId="0" fillId="0" borderId="17" xfId="0" applyBorder="1" applyAlignment="1">
      <alignment horizontal="center"/>
    </xf>
    <xf numFmtId="0" fontId="0" fillId="0" borderId="27" xfId="0" applyBorder="1"/>
    <xf numFmtId="0" fontId="12" fillId="0" borderId="27" xfId="0" applyFont="1" applyBorder="1"/>
    <xf numFmtId="0" fontId="0" fillId="0" borderId="27" xfId="0" applyBorder="1" applyAlignment="1">
      <alignment horizontal="center"/>
    </xf>
    <xf numFmtId="164" fontId="12" fillId="0" borderId="28" xfId="0" applyNumberFormat="1" applyFont="1" applyBorder="1"/>
    <xf numFmtId="0" fontId="0" fillId="0" borderId="29" xfId="0" applyBorder="1" applyAlignment="1">
      <alignment horizontal="center"/>
    </xf>
    <xf numFmtId="0" fontId="12" fillId="0" borderId="0" xfId="0" applyFont="1"/>
    <xf numFmtId="164" fontId="12" fillId="0" borderId="30" xfId="0" applyNumberFormat="1" applyFont="1" applyBorder="1"/>
    <xf numFmtId="0" fontId="0" fillId="0" borderId="7" xfId="0" applyBorder="1" applyAlignment="1">
      <alignment horizontal="center"/>
    </xf>
    <xf numFmtId="0" fontId="12" fillId="0" borderId="8" xfId="0" applyFont="1" applyBorder="1"/>
    <xf numFmtId="0" fontId="0" fillId="0" borderId="8" xfId="0" applyBorder="1" applyAlignment="1">
      <alignment horizontal="center"/>
    </xf>
    <xf numFmtId="166" fontId="0" fillId="0" borderId="40" xfId="0" applyNumberFormat="1" applyBorder="1" applyAlignment="1">
      <alignment vertical="center"/>
    </xf>
    <xf numFmtId="0" fontId="3" fillId="0" borderId="29" xfId="0" applyFont="1" applyBorder="1" applyAlignment="1">
      <alignment horizontal="center" vertical="center"/>
    </xf>
    <xf numFmtId="0" fontId="3" fillId="0" borderId="29" xfId="0" applyFont="1" applyBorder="1" applyAlignment="1">
      <alignment horizontal="center" vertical="center" wrapText="1"/>
    </xf>
    <xf numFmtId="0" fontId="14" fillId="0" borderId="29" xfId="0" applyFont="1" applyBorder="1" applyAlignment="1">
      <alignment horizontal="center" vertical="center"/>
    </xf>
    <xf numFmtId="0" fontId="3" fillId="0" borderId="0" xfId="0" applyFont="1" applyAlignment="1">
      <alignment horizontal="center" vertical="center"/>
    </xf>
    <xf numFmtId="0" fontId="14" fillId="0" borderId="0" xfId="0" applyFont="1" applyAlignment="1">
      <alignment horizontal="center" vertical="center"/>
    </xf>
    <xf numFmtId="0" fontId="3" fillId="0" borderId="30" xfId="0" applyFont="1" applyBorder="1" applyAlignment="1">
      <alignment horizontal="center" vertical="center"/>
    </xf>
    <xf numFmtId="164" fontId="3" fillId="0" borderId="0" xfId="0" applyNumberFormat="1" applyFont="1" applyAlignment="1">
      <alignment horizontal="center" vertical="center"/>
    </xf>
    <xf numFmtId="0" fontId="0" fillId="0" borderId="4" xfId="0" applyBorder="1"/>
    <xf numFmtId="0" fontId="4" fillId="6" borderId="48" xfId="0" applyFont="1" applyFill="1" applyBorder="1" applyAlignment="1">
      <alignment horizontal="center" vertical="center"/>
    </xf>
    <xf numFmtId="0" fontId="4" fillId="6" borderId="49" xfId="0" applyFont="1" applyFill="1" applyBorder="1" applyAlignment="1">
      <alignment horizontal="center" vertical="center"/>
    </xf>
    <xf numFmtId="164" fontId="3" fillId="6" borderId="51" xfId="0" applyNumberFormat="1" applyFont="1" applyFill="1" applyBorder="1" applyAlignment="1">
      <alignment horizontal="center" vertical="center"/>
    </xf>
    <xf numFmtId="164" fontId="3" fillId="6" borderId="49" xfId="0" applyNumberFormat="1" applyFont="1" applyFill="1" applyBorder="1" applyAlignment="1">
      <alignment horizontal="center" vertical="center"/>
    </xf>
    <xf numFmtId="164" fontId="3" fillId="6" borderId="55" xfId="0" applyNumberFormat="1" applyFont="1" applyFill="1" applyBorder="1" applyAlignment="1">
      <alignment horizontal="center" vertical="center"/>
    </xf>
    <xf numFmtId="164" fontId="3" fillId="6" borderId="56" xfId="0" applyNumberFormat="1" applyFont="1" applyFill="1" applyBorder="1" applyAlignment="1">
      <alignment horizontal="center" vertical="center"/>
    </xf>
    <xf numFmtId="2" fontId="3" fillId="6" borderId="49" xfId="0" applyNumberFormat="1" applyFont="1" applyFill="1" applyBorder="1" applyAlignment="1">
      <alignment horizontal="center" vertical="center"/>
    </xf>
    <xf numFmtId="0" fontId="14"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14"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3" xfId="0" applyFont="1" applyFill="1" applyBorder="1" applyAlignment="1">
      <alignment horizontal="center" vertical="center"/>
    </xf>
    <xf numFmtId="164" fontId="3" fillId="6" borderId="5" xfId="0" applyNumberFormat="1" applyFont="1" applyFill="1" applyBorder="1" applyAlignment="1">
      <alignment horizontal="center" vertical="center"/>
    </xf>
    <xf numFmtId="0" fontId="3" fillId="6" borderId="3" xfId="0" applyFont="1" applyFill="1" applyBorder="1" applyAlignment="1">
      <alignment horizontal="center" vertical="center" wrapText="1"/>
    </xf>
    <xf numFmtId="0" fontId="3" fillId="6" borderId="59" xfId="0" applyFont="1" applyFill="1" applyBorder="1" applyAlignment="1">
      <alignment horizontal="center" vertical="center"/>
    </xf>
    <xf numFmtId="164" fontId="3" fillId="6" borderId="68" xfId="0" applyNumberFormat="1" applyFont="1" applyFill="1" applyBorder="1" applyAlignment="1">
      <alignment horizontal="center" vertical="center"/>
    </xf>
    <xf numFmtId="0" fontId="3" fillId="6" borderId="60" xfId="0" applyFont="1" applyFill="1" applyBorder="1" applyAlignment="1">
      <alignment horizontal="center" vertical="center"/>
    </xf>
    <xf numFmtId="164" fontId="3" fillId="6" borderId="61" xfId="0" applyNumberFormat="1" applyFont="1" applyFill="1" applyBorder="1" applyAlignment="1">
      <alignment horizontal="center" vertical="center"/>
    </xf>
    <xf numFmtId="0" fontId="3" fillId="6" borderId="62" xfId="0" applyFont="1" applyFill="1" applyBorder="1" applyAlignment="1">
      <alignment horizontal="center" vertical="center"/>
    </xf>
    <xf numFmtId="164" fontId="3" fillId="6" borderId="69" xfId="0" applyNumberFormat="1" applyFont="1" applyFill="1" applyBorder="1" applyAlignment="1">
      <alignment horizontal="center" vertical="center"/>
    </xf>
    <xf numFmtId="0" fontId="3" fillId="6" borderId="63" xfId="0" applyFont="1" applyFill="1" applyBorder="1" applyAlignment="1">
      <alignment horizontal="center" vertical="center"/>
    </xf>
    <xf numFmtId="164" fontId="3" fillId="6" borderId="64" xfId="0" applyNumberFormat="1" applyFont="1" applyFill="1" applyBorder="1" applyAlignment="1">
      <alignment horizontal="center" vertical="center"/>
    </xf>
    <xf numFmtId="0" fontId="3" fillId="6" borderId="62" xfId="0" applyFont="1" applyFill="1" applyBorder="1" applyAlignment="1">
      <alignment horizontal="center" vertical="center" wrapText="1"/>
    </xf>
    <xf numFmtId="0" fontId="3" fillId="6" borderId="65" xfId="0" applyFont="1" applyFill="1" applyBorder="1" applyAlignment="1">
      <alignment horizontal="center" vertical="center"/>
    </xf>
    <xf numFmtId="164" fontId="3" fillId="6" borderId="70" xfId="0" applyNumberFormat="1" applyFont="1" applyFill="1" applyBorder="1" applyAlignment="1">
      <alignment horizontal="center" vertical="center"/>
    </xf>
    <xf numFmtId="0" fontId="3" fillId="6" borderId="66" xfId="0" applyFont="1" applyFill="1" applyBorder="1" applyAlignment="1">
      <alignment horizontal="center" vertical="center"/>
    </xf>
    <xf numFmtId="164" fontId="3" fillId="6" borderId="67" xfId="0" applyNumberFormat="1" applyFont="1" applyFill="1" applyBorder="1" applyAlignment="1">
      <alignment horizontal="center" vertical="center"/>
    </xf>
    <xf numFmtId="0" fontId="3" fillId="6" borderId="65" xfId="0" applyFont="1" applyFill="1" applyBorder="1" applyAlignment="1">
      <alignment horizontal="center" vertical="center" wrapText="1"/>
    </xf>
    <xf numFmtId="164" fontId="3" fillId="6" borderId="60" xfId="0" applyNumberFormat="1" applyFont="1" applyFill="1" applyBorder="1" applyAlignment="1">
      <alignment horizontal="center" vertical="center"/>
    </xf>
    <xf numFmtId="0" fontId="3" fillId="6" borderId="59" xfId="0" applyFont="1" applyFill="1" applyBorder="1" applyAlignment="1">
      <alignment horizontal="center" vertical="center" wrapText="1"/>
    </xf>
    <xf numFmtId="10" fontId="0" fillId="6" borderId="5" xfId="2" applyNumberFormat="1" applyFont="1" applyFill="1" applyBorder="1" applyAlignment="1">
      <alignment horizontal="center" vertical="center"/>
    </xf>
    <xf numFmtId="0" fontId="0" fillId="6" borderId="3" xfId="0" applyFill="1" applyBorder="1" applyAlignment="1">
      <alignment horizontal="center" vertical="center" wrapText="1"/>
    </xf>
    <xf numFmtId="0" fontId="3" fillId="6" borderId="71" xfId="0" applyFont="1" applyFill="1" applyBorder="1" applyAlignment="1">
      <alignment horizontal="center" vertical="center"/>
    </xf>
    <xf numFmtId="164" fontId="3" fillId="6" borderId="72" xfId="0" applyNumberFormat="1" applyFont="1" applyFill="1" applyBorder="1" applyAlignment="1">
      <alignment horizontal="center" vertical="center"/>
    </xf>
    <xf numFmtId="0" fontId="3" fillId="6" borderId="73" xfId="0" applyFont="1" applyFill="1" applyBorder="1" applyAlignment="1">
      <alignment horizontal="center" vertical="center"/>
    </xf>
    <xf numFmtId="164" fontId="3" fillId="6" borderId="73" xfId="0" applyNumberFormat="1" applyFont="1" applyFill="1" applyBorder="1" applyAlignment="1">
      <alignment horizontal="center" vertical="center"/>
    </xf>
    <xf numFmtId="164" fontId="3" fillId="6" borderId="74" xfId="0" applyNumberFormat="1" applyFont="1" applyFill="1" applyBorder="1" applyAlignment="1">
      <alignment horizontal="center" vertical="center"/>
    </xf>
    <xf numFmtId="0" fontId="13" fillId="6" borderId="3" xfId="0" applyFont="1" applyFill="1" applyBorder="1" applyAlignment="1">
      <alignment horizontal="center" vertical="center"/>
    </xf>
    <xf numFmtId="1" fontId="13" fillId="6" borderId="75" xfId="0" applyNumberFormat="1" applyFont="1" applyFill="1" applyBorder="1" applyAlignment="1">
      <alignment horizontal="center" vertical="center"/>
    </xf>
    <xf numFmtId="0" fontId="13" fillId="6" borderId="4" xfId="0" applyFont="1" applyFill="1" applyBorder="1" applyAlignment="1">
      <alignment horizontal="center" vertical="center"/>
    </xf>
    <xf numFmtId="164" fontId="13" fillId="6" borderId="4" xfId="0" applyNumberFormat="1" applyFont="1" applyFill="1" applyBorder="1" applyAlignment="1">
      <alignment horizontal="center" vertical="center"/>
    </xf>
    <xf numFmtId="0" fontId="13" fillId="6" borderId="3" xfId="0" applyFont="1" applyFill="1" applyBorder="1" applyAlignment="1">
      <alignment horizontal="center" vertical="center" wrapText="1"/>
    </xf>
    <xf numFmtId="164" fontId="13" fillId="6" borderId="5" xfId="0" applyNumberFormat="1" applyFont="1" applyFill="1" applyBorder="1" applyAlignment="1">
      <alignment horizontal="center" vertical="center"/>
    </xf>
    <xf numFmtId="164" fontId="0" fillId="8" borderId="0" xfId="0" applyNumberFormat="1" applyFill="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67" fontId="0" fillId="0" borderId="0" xfId="0" applyNumberFormat="1"/>
    <xf numFmtId="2" fontId="4" fillId="6" borderId="49" xfId="0" applyNumberFormat="1" applyFont="1" applyFill="1" applyBorder="1" applyAlignment="1">
      <alignment horizontal="center" vertical="center"/>
    </xf>
    <xf numFmtId="0" fontId="14" fillId="0" borderId="17" xfId="0" applyFont="1" applyBorder="1" applyAlignment="1">
      <alignment horizontal="center" vertical="center"/>
    </xf>
    <xf numFmtId="0" fontId="3" fillId="0" borderId="27" xfId="0" applyFont="1" applyBorder="1" applyAlignment="1">
      <alignment horizontal="center" vertical="center"/>
    </xf>
    <xf numFmtId="0" fontId="14" fillId="0" borderId="27" xfId="0" applyFont="1" applyBorder="1" applyAlignment="1">
      <alignment horizontal="center" vertical="center"/>
    </xf>
    <xf numFmtId="0" fontId="3" fillId="0" borderId="28" xfId="0" applyFont="1" applyBorder="1" applyAlignment="1">
      <alignment horizontal="center" vertical="center"/>
    </xf>
    <xf numFmtId="0" fontId="0" fillId="0" borderId="17" xfId="0" applyBorder="1"/>
    <xf numFmtId="0" fontId="0" fillId="0" borderId="28" xfId="0" applyBorder="1"/>
    <xf numFmtId="168" fontId="0" fillId="8" borderId="0" xfId="0" applyNumberFormat="1" applyFill="1" applyAlignment="1">
      <alignment horizontal="center"/>
    </xf>
    <xf numFmtId="168" fontId="0" fillId="8" borderId="0" xfId="0" applyNumberFormat="1" applyFill="1" applyAlignment="1">
      <alignment horizontal="center" vertical="center"/>
    </xf>
    <xf numFmtId="169" fontId="0" fillId="0" borderId="0" xfId="0" applyNumberFormat="1" applyAlignment="1">
      <alignment horizontal="center"/>
    </xf>
    <xf numFmtId="169" fontId="3" fillId="6" borderId="49" xfId="0" applyNumberFormat="1" applyFont="1" applyFill="1" applyBorder="1" applyAlignment="1">
      <alignment horizontal="center" vertical="center"/>
    </xf>
    <xf numFmtId="169" fontId="3" fillId="6" borderId="56" xfId="0" applyNumberFormat="1" applyFont="1" applyFill="1" applyBorder="1" applyAlignment="1">
      <alignment horizontal="center" vertical="center"/>
    </xf>
    <xf numFmtId="2" fontId="13" fillId="6" borderId="75" xfId="0" applyNumberFormat="1" applyFont="1" applyFill="1" applyBorder="1" applyAlignment="1">
      <alignment horizontal="center" vertical="center"/>
    </xf>
    <xf numFmtId="2" fontId="3" fillId="6" borderId="5" xfId="0" applyNumberFormat="1" applyFont="1" applyFill="1" applyBorder="1" applyAlignment="1">
      <alignment horizontal="center" vertical="center"/>
    </xf>
    <xf numFmtId="0" fontId="0" fillId="0" borderId="77" xfId="0" applyBorder="1"/>
    <xf numFmtId="0" fontId="2" fillId="0" borderId="78" xfId="0" applyFont="1" applyBorder="1" applyAlignment="1">
      <alignment horizontal="center"/>
    </xf>
    <xf numFmtId="0" fontId="2" fillId="0" borderId="79" xfId="0" applyFont="1" applyBorder="1" applyAlignment="1">
      <alignment horizontal="center"/>
    </xf>
    <xf numFmtId="0" fontId="0" fillId="0" borderId="80" xfId="0" applyBorder="1" applyAlignment="1">
      <alignment vertical="center"/>
    </xf>
    <xf numFmtId="0" fontId="0" fillId="0" borderId="81" xfId="0" applyBorder="1"/>
    <xf numFmtId="0" fontId="0" fillId="0" borderId="82" xfId="0" applyBorder="1" applyAlignment="1">
      <alignment vertical="center"/>
    </xf>
    <xf numFmtId="0" fontId="0" fillId="0" borderId="83" xfId="0" applyBorder="1"/>
    <xf numFmtId="0" fontId="0" fillId="0" borderId="84" xfId="0" applyBorder="1"/>
    <xf numFmtId="165" fontId="0" fillId="9" borderId="0" xfId="0" applyNumberFormat="1" applyFill="1" applyAlignment="1">
      <alignment horizontal="center"/>
    </xf>
    <xf numFmtId="0" fontId="0" fillId="0" borderId="0" xfId="0" applyAlignment="1">
      <alignment horizontal="left" vertical="top" wrapText="1"/>
    </xf>
    <xf numFmtId="0" fontId="0" fillId="0" borderId="0" xfId="0" applyAlignment="1">
      <alignment vertical="center" wrapText="1"/>
    </xf>
    <xf numFmtId="165" fontId="0" fillId="10" borderId="0" xfId="0" applyNumberFormat="1" applyFill="1" applyAlignment="1">
      <alignment horizontal="center"/>
    </xf>
    <xf numFmtId="1" fontId="3" fillId="3" borderId="86" xfId="0" applyNumberFormat="1" applyFont="1" applyFill="1" applyBorder="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3" fillId="6" borderId="0" xfId="0" applyFont="1" applyFill="1" applyAlignment="1">
      <alignment horizontal="center" vertical="center"/>
    </xf>
    <xf numFmtId="164" fontId="3" fillId="6" borderId="0" xfId="0" applyNumberFormat="1" applyFont="1" applyFill="1" applyAlignment="1">
      <alignment horizontal="center" vertical="center"/>
    </xf>
    <xf numFmtId="2" fontId="3" fillId="6" borderId="0" xfId="0" applyNumberFormat="1" applyFont="1" applyFill="1" applyAlignment="1">
      <alignment horizontal="center" vertical="center"/>
    </xf>
    <xf numFmtId="1" fontId="3" fillId="3" borderId="0" xfId="0" applyNumberFormat="1" applyFont="1" applyFill="1" applyAlignment="1">
      <alignment horizontal="center" vertical="center"/>
    </xf>
    <xf numFmtId="0" fontId="0" fillId="0" borderId="77" xfId="0" applyBorder="1" applyAlignment="1">
      <alignment vertical="center"/>
    </xf>
    <xf numFmtId="0" fontId="3" fillId="0" borderId="79" xfId="0" applyFont="1" applyBorder="1" applyAlignment="1">
      <alignment horizontal="center" vertical="center"/>
    </xf>
    <xf numFmtId="0" fontId="3" fillId="0" borderId="81" xfId="0" applyFont="1" applyBorder="1" applyAlignment="1">
      <alignment horizontal="center" vertical="center"/>
    </xf>
    <xf numFmtId="0" fontId="3" fillId="0" borderId="84" xfId="0" applyFont="1" applyBorder="1" applyAlignment="1">
      <alignment horizontal="center" vertical="center"/>
    </xf>
    <xf numFmtId="4" fontId="3" fillId="0" borderId="78" xfId="0" applyNumberFormat="1" applyFont="1" applyBorder="1" applyAlignment="1">
      <alignment horizontal="center" vertical="center"/>
    </xf>
    <xf numFmtId="4" fontId="3" fillId="0" borderId="0" xfId="0" applyNumberFormat="1" applyFont="1" applyAlignment="1">
      <alignment horizontal="center" vertical="center"/>
    </xf>
    <xf numFmtId="4" fontId="3" fillId="0" borderId="83" xfId="0" applyNumberFormat="1" applyFont="1" applyBorder="1" applyAlignment="1">
      <alignment horizontal="center" vertical="center"/>
    </xf>
    <xf numFmtId="2" fontId="4" fillId="6" borderId="0" xfId="0" applyNumberFormat="1" applyFont="1" applyFill="1" applyAlignment="1">
      <alignment horizontal="center" vertical="center"/>
    </xf>
    <xf numFmtId="0" fontId="3" fillId="0" borderId="77" xfId="0" applyFont="1" applyBorder="1" applyAlignment="1">
      <alignment horizontal="center" vertical="center"/>
    </xf>
    <xf numFmtId="0" fontId="0" fillId="0" borderId="78" xfId="0" applyBorder="1"/>
    <xf numFmtId="1" fontId="3" fillId="0" borderId="78" xfId="0" applyNumberFormat="1" applyFont="1" applyBorder="1" applyAlignment="1">
      <alignment horizontal="center" vertical="center"/>
    </xf>
    <xf numFmtId="0" fontId="3" fillId="0" borderId="80" xfId="0" applyFont="1" applyBorder="1" applyAlignment="1">
      <alignment horizontal="center" vertical="center"/>
    </xf>
    <xf numFmtId="1" fontId="3" fillId="0" borderId="0" xfId="0" applyNumberFormat="1" applyFont="1" applyAlignment="1">
      <alignment horizontal="center" vertical="center"/>
    </xf>
    <xf numFmtId="9" fontId="3" fillId="0" borderId="81" xfId="2" applyFont="1" applyFill="1" applyBorder="1" applyAlignment="1">
      <alignment horizontal="center" vertical="center"/>
    </xf>
    <xf numFmtId="0" fontId="3" fillId="0" borderId="82" xfId="0" applyFont="1" applyBorder="1" applyAlignment="1">
      <alignment horizontal="center" vertical="center"/>
    </xf>
    <xf numFmtId="164" fontId="3" fillId="0" borderId="83" xfId="0" applyNumberFormat="1" applyFont="1" applyBorder="1" applyAlignment="1">
      <alignment horizontal="center" vertical="center"/>
    </xf>
    <xf numFmtId="9" fontId="3" fillId="0" borderId="84" xfId="2" applyFont="1" applyFill="1" applyBorder="1" applyAlignment="1">
      <alignment horizontal="center" vertical="center"/>
    </xf>
    <xf numFmtId="2" fontId="0" fillId="0" borderId="79" xfId="0" applyNumberFormat="1" applyBorder="1"/>
    <xf numFmtId="0" fontId="0" fillId="0" borderId="82" xfId="0" applyBorder="1"/>
    <xf numFmtId="2" fontId="0" fillId="0" borderId="84" xfId="0" applyNumberFormat="1" applyBorder="1"/>
    <xf numFmtId="0" fontId="0" fillId="0" borderId="14" xfId="0" applyBorder="1" applyAlignment="1">
      <alignment horizontal="center"/>
    </xf>
    <xf numFmtId="0" fontId="0" fillId="0" borderId="80" xfId="0" applyBorder="1"/>
    <xf numFmtId="4" fontId="0" fillId="0" borderId="0" xfId="0" applyNumberFormat="1"/>
    <xf numFmtId="4" fontId="0" fillId="0" borderId="81" xfId="0" applyNumberFormat="1" applyBorder="1"/>
    <xf numFmtId="1" fontId="0" fillId="0" borderId="0" xfId="0" applyNumberFormat="1"/>
    <xf numFmtId="1" fontId="0" fillId="0" borderId="81" xfId="0" applyNumberFormat="1" applyBorder="1"/>
    <xf numFmtId="2" fontId="0" fillId="0" borderId="0" xfId="0" applyNumberFormat="1"/>
    <xf numFmtId="2" fontId="0" fillId="0" borderId="81" xfId="0" applyNumberFormat="1" applyBorder="1"/>
    <xf numFmtId="168" fontId="0" fillId="0" borderId="0" xfId="0" applyNumberFormat="1" applyAlignment="1">
      <alignment horizontal="center"/>
    </xf>
    <xf numFmtId="168" fontId="0" fillId="0" borderId="0" xfId="0" applyNumberFormat="1" applyAlignment="1">
      <alignment horizontal="center" vertical="center"/>
    </xf>
    <xf numFmtId="0" fontId="0" fillId="0" borderId="0" xfId="0" applyAlignment="1">
      <alignment horizontal="left" vertical="center"/>
    </xf>
    <xf numFmtId="0" fontId="0" fillId="11" borderId="0" xfId="0" applyFill="1" applyAlignment="1">
      <alignment horizontal="center" vertical="center"/>
    </xf>
    <xf numFmtId="171" fontId="0" fillId="0" borderId="0" xfId="0" applyNumberFormat="1" applyAlignment="1">
      <alignment horizontal="center"/>
    </xf>
    <xf numFmtId="170" fontId="0" fillId="0" borderId="0" xfId="0" applyNumberFormat="1" applyAlignment="1">
      <alignment horizontal="center"/>
    </xf>
    <xf numFmtId="169" fontId="3" fillId="6" borderId="16" xfId="0" applyNumberFormat="1" applyFont="1" applyFill="1" applyBorder="1" applyAlignment="1">
      <alignment horizontal="center" vertical="center" wrapText="1"/>
    </xf>
    <xf numFmtId="169" fontId="3" fillId="6" borderId="85" xfId="0" applyNumberFormat="1" applyFont="1" applyFill="1" applyBorder="1" applyAlignment="1">
      <alignment horizontal="center" vertical="center"/>
    </xf>
    <xf numFmtId="0" fontId="3" fillId="6" borderId="48" xfId="0" applyFont="1" applyFill="1" applyBorder="1" applyAlignment="1">
      <alignment horizontal="center" vertical="center"/>
    </xf>
    <xf numFmtId="0" fontId="3" fillId="6" borderId="50" xfId="0" applyFont="1" applyFill="1" applyBorder="1" applyAlignment="1">
      <alignment horizontal="center" vertical="center"/>
    </xf>
    <xf numFmtId="0" fontId="3" fillId="6" borderId="52" xfId="0" applyFont="1" applyFill="1" applyBorder="1" applyAlignment="1">
      <alignment horizontal="center" vertical="center"/>
    </xf>
    <xf numFmtId="0" fontId="4" fillId="7" borderId="16" xfId="0" applyFont="1" applyFill="1" applyBorder="1" applyAlignment="1">
      <alignment horizontal="center" vertical="center"/>
    </xf>
    <xf numFmtId="0" fontId="4" fillId="7" borderId="58" xfId="0" applyFont="1" applyFill="1" applyBorder="1" applyAlignment="1">
      <alignment horizontal="center" vertical="center"/>
    </xf>
    <xf numFmtId="0" fontId="4" fillId="7" borderId="6" xfId="0" applyFont="1" applyFill="1" applyBorder="1" applyAlignment="1">
      <alignment horizontal="center" vertical="center"/>
    </xf>
    <xf numFmtId="0" fontId="3" fillId="6" borderId="53" xfId="0" applyFont="1" applyFill="1" applyBorder="1" applyAlignment="1">
      <alignment horizontal="center" vertical="center"/>
    </xf>
    <xf numFmtId="0" fontId="3" fillId="6" borderId="54" xfId="0" applyFont="1" applyFill="1" applyBorder="1" applyAlignment="1">
      <alignment horizontal="center" vertical="center"/>
    </xf>
    <xf numFmtId="0" fontId="3" fillId="6" borderId="57" xfId="0" applyFont="1" applyFill="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6" fillId="0" borderId="26" xfId="0" applyFont="1" applyBorder="1" applyAlignment="1">
      <alignment horizontal="left" vertical="center"/>
    </xf>
    <xf numFmtId="0" fontId="6" fillId="0" borderId="76" xfId="0" applyFont="1" applyBorder="1" applyAlignment="1">
      <alignment horizontal="left" vertical="center"/>
    </xf>
    <xf numFmtId="0" fontId="6" fillId="0" borderId="35" xfId="0" applyFont="1" applyBorder="1" applyAlignment="1">
      <alignment horizontal="left" vertical="center"/>
    </xf>
    <xf numFmtId="0" fontId="3" fillId="0" borderId="29" xfId="0" applyFont="1" applyBorder="1" applyAlignment="1">
      <alignment horizontal="left" vertical="center" indent="3"/>
    </xf>
    <xf numFmtId="0" fontId="3" fillId="0" borderId="0" xfId="0" applyFont="1" applyAlignment="1">
      <alignment horizontal="left" vertical="center" indent="3"/>
    </xf>
    <xf numFmtId="0" fontId="9" fillId="0" borderId="0" xfId="0" applyFont="1" applyAlignment="1">
      <alignment horizontal="left" vertical="center"/>
    </xf>
    <xf numFmtId="14" fontId="0" fillId="4" borderId="26" xfId="0" applyNumberFormat="1" applyFill="1" applyBorder="1" applyAlignment="1">
      <alignment horizontal="center"/>
    </xf>
    <xf numFmtId="14" fontId="0" fillId="4" borderId="35" xfId="0" applyNumberFormat="1" applyFill="1" applyBorder="1" applyAlignment="1">
      <alignment horizontal="center"/>
    </xf>
    <xf numFmtId="0" fontId="0" fillId="4" borderId="26" xfId="0" applyFill="1" applyBorder="1" applyAlignment="1">
      <alignment horizontal="center"/>
    </xf>
    <xf numFmtId="0" fontId="0" fillId="4" borderId="35" xfId="0" applyFill="1" applyBorder="1" applyAlignment="1">
      <alignment horizontal="center"/>
    </xf>
    <xf numFmtId="14" fontId="4" fillId="0" borderId="0" xfId="0" applyNumberFormat="1" applyFont="1" applyAlignment="1">
      <alignment horizontal="left" vertical="top"/>
    </xf>
    <xf numFmtId="0" fontId="5" fillId="3" borderId="29" xfId="0" applyFont="1" applyFill="1" applyBorder="1" applyAlignment="1">
      <alignment horizontal="center" vertical="center"/>
    </xf>
    <xf numFmtId="0" fontId="5" fillId="3" borderId="0" xfId="0" applyFont="1" applyFill="1" applyAlignment="1">
      <alignment horizontal="center" vertical="center"/>
    </xf>
    <xf numFmtId="0" fontId="5" fillId="3" borderId="30"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28" xfId="0" applyFont="1" applyFill="1" applyBorder="1" applyAlignment="1">
      <alignment horizontal="center" vertical="center"/>
    </xf>
    <xf numFmtId="0" fontId="0" fillId="0" borderId="18" xfId="0" applyBorder="1" applyAlignment="1">
      <alignment horizontal="center"/>
    </xf>
    <xf numFmtId="0" fontId="0" fillId="0" borderId="32" xfId="0" applyBorder="1" applyAlignment="1">
      <alignment horizontal="center"/>
    </xf>
    <xf numFmtId="0" fontId="0" fillId="0" borderId="24" xfId="0" applyBorder="1" applyAlignment="1">
      <alignment horizontal="center"/>
    </xf>
    <xf numFmtId="0" fontId="0" fillId="0" borderId="34" xfId="0" applyBorder="1" applyAlignment="1">
      <alignment horizont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2" fillId="5" borderId="31" xfId="0" applyFont="1" applyFill="1" applyBorder="1" applyAlignment="1">
      <alignment horizontal="left" vertical="center" wrapText="1"/>
    </xf>
    <xf numFmtId="0" fontId="2" fillId="5" borderId="18" xfId="0" applyFont="1" applyFill="1" applyBorder="1" applyAlignment="1">
      <alignment horizontal="left" vertical="center"/>
    </xf>
    <xf numFmtId="0" fontId="2" fillId="5" borderId="32" xfId="0" applyFont="1" applyFill="1" applyBorder="1" applyAlignment="1">
      <alignment horizontal="left" vertical="center"/>
    </xf>
    <xf numFmtId="0" fontId="2" fillId="5" borderId="29" xfId="0" applyFont="1" applyFill="1" applyBorder="1" applyAlignment="1">
      <alignment horizontal="left" vertical="center"/>
    </xf>
    <xf numFmtId="0" fontId="2" fillId="5" borderId="0" xfId="0" applyFont="1" applyFill="1" applyAlignment="1">
      <alignment horizontal="left" vertical="center"/>
    </xf>
    <xf numFmtId="0" fontId="2" fillId="5" borderId="30" xfId="0" applyFont="1" applyFill="1" applyBorder="1" applyAlignment="1">
      <alignment horizontal="left" vertical="center"/>
    </xf>
    <xf numFmtId="0" fontId="2" fillId="5" borderId="7" xfId="0" applyFont="1" applyFill="1" applyBorder="1" applyAlignment="1">
      <alignment horizontal="left" vertical="center"/>
    </xf>
    <xf numFmtId="0" fontId="2" fillId="5" borderId="8" xfId="0" applyFont="1" applyFill="1" applyBorder="1" applyAlignment="1">
      <alignment horizontal="left" vertical="center"/>
    </xf>
    <xf numFmtId="0" fontId="2" fillId="5" borderId="9" xfId="0" applyFont="1" applyFill="1" applyBorder="1" applyAlignment="1">
      <alignment horizontal="left" vertical="center"/>
    </xf>
    <xf numFmtId="0" fontId="5" fillId="3" borderId="14" xfId="0" applyFont="1" applyFill="1" applyBorder="1" applyAlignment="1">
      <alignment horizontal="center" vertical="center"/>
    </xf>
    <xf numFmtId="0" fontId="6" fillId="0" borderId="26" xfId="0" applyFont="1" applyBorder="1" applyAlignment="1">
      <alignment horizontal="left" vertical="center" wrapText="1"/>
    </xf>
    <xf numFmtId="0" fontId="6" fillId="0" borderId="76" xfId="0" applyFont="1" applyBorder="1" applyAlignment="1">
      <alignment horizontal="left" vertical="center" wrapText="1"/>
    </xf>
    <xf numFmtId="0" fontId="6" fillId="0" borderId="35" xfId="0" applyFont="1" applyBorder="1" applyAlignment="1">
      <alignment horizontal="left" vertical="center" wrapText="1"/>
    </xf>
    <xf numFmtId="0" fontId="10" fillId="2" borderId="3" xfId="0" applyFont="1" applyFill="1" applyBorder="1" applyAlignment="1">
      <alignment horizontal="center"/>
    </xf>
    <xf numFmtId="0" fontId="10" fillId="2" borderId="4" xfId="0" applyFont="1" applyFill="1" applyBorder="1" applyAlignment="1">
      <alignment horizontal="center"/>
    </xf>
    <xf numFmtId="0" fontId="10" fillId="2" borderId="5" xfId="0" applyFont="1" applyFill="1" applyBorder="1" applyAlignment="1">
      <alignment horizontal="center"/>
    </xf>
    <xf numFmtId="0" fontId="11" fillId="3" borderId="37" xfId="0" applyFont="1" applyFill="1" applyBorder="1" applyAlignment="1">
      <alignment horizontal="center" vertical="center"/>
    </xf>
    <xf numFmtId="0" fontId="2" fillId="3" borderId="37" xfId="0" applyFont="1" applyFill="1" applyBorder="1" applyAlignment="1">
      <alignment horizontal="center" vertical="center"/>
    </xf>
    <xf numFmtId="0" fontId="0" fillId="4" borderId="40" xfId="0" applyFill="1" applyBorder="1" applyAlignment="1">
      <alignment horizontal="left" vertical="center"/>
    </xf>
    <xf numFmtId="0" fontId="0" fillId="4" borderId="40" xfId="0" applyFill="1"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4" borderId="43" xfId="0" applyFill="1" applyBorder="1" applyAlignment="1">
      <alignment horizontal="left" vertical="center"/>
    </xf>
    <xf numFmtId="0" fontId="0" fillId="4" borderId="43" xfId="0" applyFill="1" applyBorder="1" applyAlignment="1">
      <alignment horizontal="center" vertical="center"/>
    </xf>
    <xf numFmtId="0" fontId="0" fillId="4" borderId="46" xfId="0" applyFill="1" applyBorder="1" applyAlignment="1">
      <alignment horizontal="left" vertical="center"/>
    </xf>
    <xf numFmtId="0" fontId="0" fillId="4" borderId="46" xfId="0" applyFill="1" applyBorder="1" applyAlignment="1">
      <alignment horizontal="center" vertical="center"/>
    </xf>
  </cellXfs>
  <cellStyles count="3">
    <cellStyle name="Normal" xfId="0" builtinId="0"/>
    <cellStyle name="Normal 2 2 2 2 2" xfId="1" xr:uid="{462A8428-8789-4113-81FE-1C93F47A970B}"/>
    <cellStyle name="Porcentaje" xfId="2" builtinId="5"/>
  </cellStyles>
  <dxfs count="7">
    <dxf>
      <fill>
        <patternFill>
          <bgColor rgb="FFFF0000"/>
        </patternFill>
      </fill>
    </dxf>
    <dxf>
      <fill>
        <patternFill>
          <bgColor rgb="FFFF5050"/>
        </patternFill>
      </fill>
    </dxf>
    <dxf>
      <fill>
        <patternFill>
          <bgColor rgb="FFFF0000"/>
        </patternFill>
      </fill>
    </dxf>
    <dxf>
      <fill>
        <patternFill>
          <bgColor rgb="FFFF5050"/>
        </patternFill>
      </fill>
    </dxf>
    <dxf>
      <fill>
        <patternFill>
          <bgColor rgb="FFFF0000"/>
        </patternFill>
      </fill>
    </dxf>
    <dxf>
      <font>
        <color auto="1"/>
      </font>
      <fill>
        <patternFill>
          <bgColor rgb="FFFF0000"/>
        </patternFill>
      </fill>
    </dxf>
    <dxf>
      <fill>
        <patternFill>
          <bgColor rgb="FFFF505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SATURACIÓN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61-4448-AA93-0DC5957FD1E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61-4448-AA93-0DC5957FD1E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Hoja1!$C$22:$C$23</c:f>
              <c:strCache>
                <c:ptCount val="2"/>
                <c:pt idx="0">
                  <c:v>Min. Trabajo manual</c:v>
                </c:pt>
                <c:pt idx="1">
                  <c:v> -</c:v>
                </c:pt>
              </c:strCache>
            </c:strRef>
          </c:cat>
          <c:val>
            <c:numRef>
              <c:f>Hoja1!$F$22:$F$23</c:f>
              <c:numCache>
                <c:formatCode>0%</c:formatCode>
                <c:ptCount val="2"/>
                <c:pt idx="0">
                  <c:v>1.2730109672545769</c:v>
                </c:pt>
                <c:pt idx="1">
                  <c:v>-0.2730109672545768</c:v>
                </c:pt>
              </c:numCache>
            </c:numRef>
          </c:val>
          <c:extLst>
            <c:ext xmlns:c16="http://schemas.microsoft.com/office/drawing/2014/chart" uri="{C3380CC4-5D6E-409C-BE32-E72D297353CC}">
              <c16:uniqueId val="{00000004-ED61-4448-AA93-0DC5957FD1E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2DAB-42EF-8445-62BDD833E24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DAB-42EF-8445-62BDD833E247}"/>
              </c:ext>
            </c:extLst>
          </c:dPt>
          <c:cat>
            <c:strRef>
              <c:f>Hoja1!$C$38:$C$39</c:f>
              <c:strCache>
                <c:ptCount val="2"/>
                <c:pt idx="0">
                  <c:v>P&amp;F</c:v>
                </c:pt>
                <c:pt idx="1">
                  <c:v>Autonomía</c:v>
                </c:pt>
              </c:strCache>
            </c:strRef>
          </c:cat>
          <c:val>
            <c:numRef>
              <c:f>Hoja1!$D$38:$D$39</c:f>
              <c:numCache>
                <c:formatCode>0.00</c:formatCode>
                <c:ptCount val="2"/>
                <c:pt idx="0">
                  <c:v>5.9084348982725388</c:v>
                </c:pt>
                <c:pt idx="1">
                  <c:v>41.883750000000006</c:v>
                </c:pt>
              </c:numCache>
            </c:numRef>
          </c:val>
          <c:extLst>
            <c:ext xmlns:c16="http://schemas.microsoft.com/office/drawing/2014/chart" uri="{C3380CC4-5D6E-409C-BE32-E72D297353CC}">
              <c16:uniqueId val="{00000004-2DAB-42EF-8445-62BDD833E247}"/>
            </c:ext>
          </c:extLst>
        </c:ser>
        <c:dLbls>
          <c:showLegendKey val="0"/>
          <c:showVal val="0"/>
          <c:showCatName val="0"/>
          <c:showSerName val="0"/>
          <c:showPercent val="0"/>
          <c:showBubbleSize val="0"/>
        </c:dLbls>
        <c:gapWidth val="182"/>
        <c:axId val="361221888"/>
        <c:axId val="361225248"/>
      </c:barChart>
      <c:catAx>
        <c:axId val="3612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5248"/>
        <c:crosses val="autoZero"/>
        <c:auto val="1"/>
        <c:lblAlgn val="ctr"/>
        <c:lblOffset val="100"/>
        <c:noMultiLvlLbl val="0"/>
      </c:catAx>
      <c:valAx>
        <c:axId val="3612252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96-4B5B-A767-B3AE5A98E27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96-4B5B-A767-B3AE5A98E27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Hoja1!$C$22:$C$23</c:f>
              <c:strCache>
                <c:ptCount val="2"/>
                <c:pt idx="0">
                  <c:v>Min. Trabajo manual</c:v>
                </c:pt>
                <c:pt idx="1">
                  <c:v> -</c:v>
                </c:pt>
              </c:strCache>
            </c:strRef>
          </c:cat>
          <c:val>
            <c:numRef>
              <c:f>Hoja1!$F$22:$F$23</c:f>
              <c:numCache>
                <c:formatCode>0%</c:formatCode>
                <c:ptCount val="2"/>
                <c:pt idx="0">
                  <c:v>1.2730109672545769</c:v>
                </c:pt>
                <c:pt idx="1">
                  <c:v>-0.2730109672545768</c:v>
                </c:pt>
              </c:numCache>
            </c:numRef>
          </c:val>
          <c:extLst>
            <c:ext xmlns:c16="http://schemas.microsoft.com/office/drawing/2014/chart" uri="{C3380CC4-5D6E-409C-BE32-E72D297353CC}">
              <c16:uniqueId val="{00000000-2429-4670-B1EB-3D056B6BD9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BAC3-4D36-84E1-7A09A49F4F9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BAC3-4D36-84E1-7A09A49F4F9B}"/>
              </c:ext>
            </c:extLst>
          </c:dPt>
          <c:cat>
            <c:strRef>
              <c:f>Hoja1!$C$38:$C$39</c:f>
              <c:strCache>
                <c:ptCount val="2"/>
                <c:pt idx="0">
                  <c:v>P&amp;F</c:v>
                </c:pt>
                <c:pt idx="1">
                  <c:v>Autonomía</c:v>
                </c:pt>
              </c:strCache>
            </c:strRef>
          </c:cat>
          <c:val>
            <c:numRef>
              <c:f>Hoja1!$D$38:$D$39</c:f>
              <c:numCache>
                <c:formatCode>0.00</c:formatCode>
                <c:ptCount val="2"/>
                <c:pt idx="0">
                  <c:v>5.9084348982725388</c:v>
                </c:pt>
                <c:pt idx="1">
                  <c:v>41.883750000000006</c:v>
                </c:pt>
              </c:numCache>
            </c:numRef>
          </c:val>
          <c:extLst>
            <c:ext xmlns:c16="http://schemas.microsoft.com/office/drawing/2014/chart" uri="{C3380CC4-5D6E-409C-BE32-E72D297353CC}">
              <c16:uniqueId val="{00000000-BAC3-4D36-84E1-7A09A49F4F9B}"/>
            </c:ext>
          </c:extLst>
        </c:ser>
        <c:dLbls>
          <c:showLegendKey val="0"/>
          <c:showVal val="0"/>
          <c:showCatName val="0"/>
          <c:showSerName val="0"/>
          <c:showPercent val="0"/>
          <c:showBubbleSize val="0"/>
        </c:dLbls>
        <c:gapWidth val="182"/>
        <c:axId val="361221888"/>
        <c:axId val="361225248"/>
      </c:barChart>
      <c:catAx>
        <c:axId val="3612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5248"/>
        <c:crosses val="autoZero"/>
        <c:auto val="1"/>
        <c:lblAlgn val="ctr"/>
        <c:lblOffset val="100"/>
        <c:noMultiLvlLbl val="0"/>
      </c:catAx>
      <c:valAx>
        <c:axId val="3612252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Pr>
        <a:bodyPr spcFirstLastPara="1" vertOverflow="ellipsis" horzOverflow="overflow" wrap="square" lIns="0" tIns="0" rIns="0" bIns="0" anchor="ctr" anchorCtr="1"/>
        <a:lstStyle/>
        <a:p>
          <a:pPr algn="ctr" rtl="0">
            <a:defRPr/>
          </a:pPr>
          <a:endParaRPr lang="es-ES" sz="1400" b="0" i="0" u="none" strike="noStrike" baseline="0">
            <a:solidFill>
              <a:sysClr val="windowText" lastClr="000000">
                <a:lumMod val="65000"/>
                <a:lumOff val="35000"/>
              </a:sysClr>
            </a:solidFill>
            <a:latin typeface="Calibri" panose="020F0502020204030204"/>
          </a:endParaRPr>
        </a:p>
      </cx:txPr>
    </cx:title>
    <cx:plotArea>
      <cx:plotAreaRegion>
        <cx:series layoutId="clusteredColumn" uniqueId="{3890DB1D-08AA-4892-A406-63978718764F}">
          <cx:dataId val="0"/>
          <cx:layoutPr>
            <cx:aggregation/>
          </cx:layoutPr>
          <cx:axisId val="1"/>
        </cx:series>
        <cx:series layoutId="paretoLine" ownerIdx="0" uniqueId="{C3DFB8B5-1BDE-455E-AE92-1F6040577F95}">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Título del gráfico</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Título del gráfico</a:t>
          </a:r>
        </a:p>
      </cx:txPr>
    </cx:title>
    <cx:plotArea>
      <cx:plotAreaRegion>
        <cx:series layoutId="clusteredColumn" uniqueId="{3890DB1D-08AA-4892-A406-63978718764F}">
          <cx:dataId val="0"/>
          <cx:layoutPr>
            <cx:aggregation/>
          </cx:layoutPr>
          <cx:axisId val="1"/>
        </cx:series>
        <cx:series layoutId="paretoLine" ownerIdx="0" uniqueId="{C3DFB8B5-1BDE-455E-AE92-1F6040577F95}">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76200</xdr:rowOff>
    </xdr:from>
    <xdr:to>
      <xdr:col>0</xdr:col>
      <xdr:colOff>765810</xdr:colOff>
      <xdr:row>0</xdr:row>
      <xdr:rowOff>558057</xdr:rowOff>
    </xdr:to>
    <xdr:pic>
      <xdr:nvPicPr>
        <xdr:cNvPr id="2" name="Picture 61">
          <a:extLst>
            <a:ext uri="{FF2B5EF4-FFF2-40B4-BE49-F238E27FC236}">
              <a16:creationId xmlns:a16="http://schemas.microsoft.com/office/drawing/2014/main" id="{3D9AB658-484C-432C-A81C-E361ED0830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6200"/>
          <a:ext cx="661035" cy="481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2</xdr:row>
      <xdr:rowOff>28575</xdr:rowOff>
    </xdr:from>
    <xdr:to>
      <xdr:col>5</xdr:col>
      <xdr:colOff>209550</xdr:colOff>
      <xdr:row>2</xdr:row>
      <xdr:rowOff>2771775</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27F66B16-802F-4FE2-93F1-962F85A8DC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su versión de Excel.
Si edita esta forma o guarda el libro en un formato de archivo diferente, el gráfico no se podrá usar.</a:t>
              </a:r>
            </a:p>
          </xdr:txBody>
        </xdr:sp>
      </mc:Fallback>
    </mc:AlternateContent>
    <xdr:clientData/>
  </xdr:twoCellAnchor>
  <xdr:twoCellAnchor>
    <xdr:from>
      <xdr:col>5</xdr:col>
      <xdr:colOff>228599</xdr:colOff>
      <xdr:row>2</xdr:row>
      <xdr:rowOff>28575</xdr:rowOff>
    </xdr:from>
    <xdr:to>
      <xdr:col>9</xdr:col>
      <xdr:colOff>1038224</xdr:colOff>
      <xdr:row>2</xdr:row>
      <xdr:rowOff>2771775</xdr:rowOff>
    </xdr:to>
    <xdr:graphicFrame macro="">
      <xdr:nvGraphicFramePr>
        <xdr:cNvPr id="4" name="Gráfico 3">
          <a:extLst>
            <a:ext uri="{FF2B5EF4-FFF2-40B4-BE49-F238E27FC236}">
              <a16:creationId xmlns:a16="http://schemas.microsoft.com/office/drawing/2014/main" id="{CC8996EC-1938-45F7-AD5A-12CECB3B9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9524</xdr:colOff>
      <xdr:row>2</xdr:row>
      <xdr:rowOff>28575</xdr:rowOff>
    </xdr:from>
    <xdr:to>
      <xdr:col>15</xdr:col>
      <xdr:colOff>1619249</xdr:colOff>
      <xdr:row>2</xdr:row>
      <xdr:rowOff>2771775</xdr:rowOff>
    </xdr:to>
    <xdr:graphicFrame macro="">
      <xdr:nvGraphicFramePr>
        <xdr:cNvPr id="5" name="Gráfico 4">
          <a:extLst>
            <a:ext uri="{FF2B5EF4-FFF2-40B4-BE49-F238E27FC236}">
              <a16:creationId xmlns:a16="http://schemas.microsoft.com/office/drawing/2014/main" id="{E76B23C7-4E54-43B5-9C9B-65804F50E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714375</xdr:colOff>
      <xdr:row>4</xdr:row>
      <xdr:rowOff>95250</xdr:rowOff>
    </xdr:from>
    <xdr:to>
      <xdr:col>16</xdr:col>
      <xdr:colOff>1219200</xdr:colOff>
      <xdr:row>6</xdr:row>
      <xdr:rowOff>76200</xdr:rowOff>
    </xdr:to>
    <xdr:pic>
      <xdr:nvPicPr>
        <xdr:cNvPr id="2" name="Picture 59">
          <a:extLst>
            <a:ext uri="{FF2B5EF4-FFF2-40B4-BE49-F238E27FC236}">
              <a16:creationId xmlns:a16="http://schemas.microsoft.com/office/drawing/2014/main" id="{05D46AA3-C21D-40A4-AF08-B4E25AF620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773400" y="857250"/>
          <a:ext cx="5048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57149</xdr:colOff>
      <xdr:row>1</xdr:row>
      <xdr:rowOff>47625</xdr:rowOff>
    </xdr:from>
    <xdr:to>
      <xdr:col>3</xdr:col>
      <xdr:colOff>466724</xdr:colOff>
      <xdr:row>2</xdr:row>
      <xdr:rowOff>67936</xdr:rowOff>
    </xdr:to>
    <xdr:pic>
      <xdr:nvPicPr>
        <xdr:cNvPr id="2" name="1 Imagen" descr="logo_green.gif">
          <a:extLst>
            <a:ext uri="{FF2B5EF4-FFF2-40B4-BE49-F238E27FC236}">
              <a16:creationId xmlns:a16="http://schemas.microsoft.com/office/drawing/2014/main" id="{F3BD5070-408D-4562-97A8-AB3008F27DA3}"/>
            </a:ext>
          </a:extLst>
        </xdr:cNvPr>
        <xdr:cNvPicPr>
          <a:picLocks noChangeAspect="1"/>
        </xdr:cNvPicPr>
      </xdr:nvPicPr>
      <xdr:blipFill>
        <a:blip xmlns:r="http://schemas.openxmlformats.org/officeDocument/2006/relationships" r:embed="rId1" cstate="print"/>
        <a:stretch>
          <a:fillRect/>
        </a:stretch>
      </xdr:blipFill>
      <xdr:spPr>
        <a:xfrm>
          <a:off x="238124" y="361950"/>
          <a:ext cx="1685925" cy="3346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495300</xdr:colOff>
      <xdr:row>1</xdr:row>
      <xdr:rowOff>128587</xdr:rowOff>
    </xdr:from>
    <xdr:to>
      <xdr:col>14</xdr:col>
      <xdr:colOff>495300</xdr:colOff>
      <xdr:row>16</xdr:row>
      <xdr:rowOff>14287</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8DBBC4DE-577F-0B7E-9DA8-AD04A8571C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su versión de Excel.
Si edita esta forma o guarda el libro en un formato de archivo diferente, el gráfico no se podrá usar.</a:t>
              </a:r>
            </a:p>
          </xdr:txBody>
        </xdr:sp>
      </mc:Fallback>
    </mc:AlternateContent>
    <xdr:clientData/>
  </xdr:twoCellAnchor>
  <xdr:twoCellAnchor>
    <xdr:from>
      <xdr:col>8</xdr:col>
      <xdr:colOff>523875</xdr:colOff>
      <xdr:row>15</xdr:row>
      <xdr:rowOff>71437</xdr:rowOff>
    </xdr:from>
    <xdr:to>
      <xdr:col>14</xdr:col>
      <xdr:colOff>523875</xdr:colOff>
      <xdr:row>29</xdr:row>
      <xdr:rowOff>128587</xdr:rowOff>
    </xdr:to>
    <xdr:graphicFrame macro="">
      <xdr:nvGraphicFramePr>
        <xdr:cNvPr id="5" name="Gráfico 4">
          <a:extLst>
            <a:ext uri="{FF2B5EF4-FFF2-40B4-BE49-F238E27FC236}">
              <a16:creationId xmlns:a16="http://schemas.microsoft.com/office/drawing/2014/main" id="{541E0008-CD96-A6CA-366C-95D38FBCE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142875</xdr:colOff>
      <xdr:row>38</xdr:row>
      <xdr:rowOff>4762</xdr:rowOff>
    </xdr:from>
    <xdr:to>
      <xdr:col>14</xdr:col>
      <xdr:colOff>142875</xdr:colOff>
      <xdr:row>52</xdr:row>
      <xdr:rowOff>61912</xdr:rowOff>
    </xdr:to>
    <xdr:graphicFrame macro="">
      <xdr:nvGraphicFramePr>
        <xdr:cNvPr id="7" name="Gráfico 6">
          <a:extLst>
            <a:ext uri="{FF2B5EF4-FFF2-40B4-BE49-F238E27FC236}">
              <a16:creationId xmlns:a16="http://schemas.microsoft.com/office/drawing/2014/main" id="{E6B9C903-4425-A62D-A6C6-3A84C0409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ceingeni1\Standards\SAP\ECM_Documents\020419CE999E\020419CE999E_RE222412_BO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ceingeni1\Standards\Users\cp73021\Desktop\Seg%20Proy%20y%20Cat\CA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ceingeni1\Standards\Users\mg05984\AppData\Local\Microsoft\Windows\Temporary%20Internet%20Files\Content.Outlook\W7JTO0F7\SM_IVT_TRANSFER_%20PRODUCCIO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jddocs.deere.com/teams/90/187/costmgmt/secured/TCM%20Scorecards/Support%20Files%20and%20Templates/Program%20Cost%20reduction%20ide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Shared\Documents%20and%20Settings\mb04955\Desktop\SB%20Plan%20MW4%20PROJECT%20LEVEL%20ol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ceingeni1\Standards\Users\jm05982\Desktop\ing.Industrial\Documents%20and%20Settings\jm05982\Application%20Data\Microsoft\Excel\ing.Industrial\T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222412"/>
      <sheetName val="Hoja1"/>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ions_Expectations"/>
      <sheetName val="Revision Log"/>
      <sheetName val="Cost Analysis Detail"/>
      <sheetName val="Scorecard_Workqueue"/>
      <sheetName val="Cost Recovery Plan"/>
      <sheetName val="Sheet1"/>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CION CON SCI CATEG"/>
      <sheetName val="Rating Criteria"/>
      <sheetName val="Scorecard_Workqueue"/>
      <sheetName val="SupplierList"/>
      <sheetName val="Hoja1"/>
      <sheetName val="PRODUCCION NOV 2012"/>
      <sheetName val="PRODUCCION OCT 2012"/>
      <sheetName val="IVT TRANFER ESTIMADO MAYO 2012"/>
      <sheetName val="HULK"/>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P"/>
      <sheetName val="DashBoard"/>
      <sheetName val="ARCHIVE"/>
      <sheetName val="Drill down"/>
      <sheetName val="#REF"/>
      <sheetName val="Drill_down"/>
    </sheetNames>
    <sheetDataSet>
      <sheetData sheetId="0"/>
      <sheetData sheetId="1"/>
      <sheetData sheetId="2"/>
      <sheetData sheetId="3"/>
      <sheetData sheetId="4" refreshError="1"/>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Supply Base Plan"/>
      <sheetName val="DM Cost Tracking"/>
      <sheetName val="Supply Base Plan Phase 3"/>
      <sheetName val="Categorization Criteria"/>
      <sheetName val="Supply Base Plan Part Level_ph2"/>
      <sheetName val="Target Cost Critical Items"/>
      <sheetName val="Master Schedule"/>
      <sheetName val="Supplier schedule"/>
      <sheetName val="Packaging Investment Plan"/>
      <sheetName val="Tooling Capital Plan"/>
      <sheetName val="Avaliação"/>
      <sheetName val="Referencia"/>
      <sheetName val="AE and Strategy"/>
      <sheetName val="OutPuts Tracking"/>
      <sheetName val="MAIN_MENU"/>
      <sheetName val="Supply_Base_Plan"/>
      <sheetName val="DM_Cost_Tracking"/>
      <sheetName val="Supply_Base_Plan_Phase_3"/>
      <sheetName val="Categorization_Criteria"/>
      <sheetName val="Supply_Base_Plan_Part_Level_ph2"/>
      <sheetName val="Target_Cost_Critical_Items"/>
      <sheetName val="Master_Schedule"/>
      <sheetName val="Supplier_schedule"/>
      <sheetName val="Packaging_Investment_Plan"/>
      <sheetName val="Tooling_Capital_Plan"/>
      <sheetName val="AE_and_Strategy"/>
      <sheetName val="OutPuts_Trac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6"/>
      <sheetName val="917"/>
      <sheetName val="918"/>
      <sheetName val="919"/>
      <sheetName val="REFERENCIAS"/>
      <sheetName val="NV12"/>
      <sheetName val="Hoja1"/>
    </sheetNames>
    <sheetDataSet>
      <sheetData sheetId="0" refreshError="1"/>
      <sheetData sheetId="1"/>
      <sheetData sheetId="2" refreshError="1"/>
      <sheetData sheetId="3"/>
      <sheetData sheetId="4"/>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Marcos Martin" id="{AA1EC0FF-BF72-4CDA-9FB5-536DFDE1373A}" userId="S::MartinUgenaMarcos2@JohnDeere.com::a53fead5-16d1-42da-9cc6-564d056ae70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51" dT="2025-12-11T16:05:42.28" personId="{AA1EC0FF-BF72-4CDA-9FB5-536DFDE1373A}" id="{4B93B57D-1C70-4091-96FB-13F89276323B}">
    <text>Estos datos los he copiado del Torno, habría que ponerlos correctamente creo o dejar algo para que no estropee tus cálculos</text>
  </threadedComment>
</ThreadedComments>
</file>

<file path=xl/threadedComments/threadedComment2.xml><?xml version="1.0" encoding="utf-8"?>
<ThreadedComments xmlns="http://schemas.microsoft.com/office/spreadsheetml/2018/threadedcomments" xmlns:x="http://schemas.openxmlformats.org/spreadsheetml/2006/main">
  <threadedComment ref="J55" dT="2025-12-11T16:05:42.28" personId="{AA1EC0FF-BF72-4CDA-9FB5-536DFDE1373A}" id="{A160DE87-A270-4627-A2DE-FB67E76D9FE4}">
    <text>Estos datos los he copiado del Torno, habría que ponerlos correctamente creo o dejar algo para que no estropee tus cálculos</text>
  </threadedComment>
</ThreadedComments>
</file>

<file path=xl/threadedComments/threadedComment3.xml><?xml version="1.0" encoding="utf-8"?>
<ThreadedComments xmlns="http://schemas.microsoft.com/office/spreadsheetml/2018/threadedcomments" xmlns:x="http://schemas.openxmlformats.org/spreadsheetml/2006/main">
  <threadedComment ref="J68" dT="2025-12-11T16:05:42.28" personId="{AA1EC0FF-BF72-4CDA-9FB5-536DFDE1373A}" id="{422D2D13-02DB-4145-8D2B-B2B2AB52F2CA}">
    <text>Estos datos los he copiado del Torno, habría que ponerlos correctamente creo o dejar algo para que no estropee tus cálculos</text>
  </threadedComment>
</ThreadedComments>
</file>

<file path=xl/threadedComments/threadedComment4.xml><?xml version="1.0" encoding="utf-8"?>
<ThreadedComments xmlns="http://schemas.microsoft.com/office/spreadsheetml/2018/threadedcomments" xmlns:x="http://schemas.openxmlformats.org/spreadsheetml/2006/main">
  <threadedComment ref="J53" dT="2025-12-11T16:05:42.28" personId="{AA1EC0FF-BF72-4CDA-9FB5-536DFDE1373A}" id="{0C00D369-20E3-4415-86AF-565CDA811183}">
    <text>Estos datos los he copiado del Torno, habría que ponerlos correctamente creo o dejar algo para que no estropee tus cálculos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53B3-2B86-4182-9F51-539D63C53CDE}">
  <dimension ref="A1:P136"/>
  <sheetViews>
    <sheetView zoomScale="90" zoomScaleNormal="90" workbookViewId="0">
      <selection activeCell="D30" sqref="D30"/>
    </sheetView>
  </sheetViews>
  <sheetFormatPr defaultColWidth="11.42578125" defaultRowHeight="15"/>
  <cols>
    <col min="1" max="1" width="12.7109375" bestFit="1" customWidth="1"/>
    <col min="3" max="3" width="91.5703125" customWidth="1"/>
    <col min="4" max="4" width="6.5703125" bestFit="1" customWidth="1"/>
    <col min="12" max="12" width="13.42578125" bestFit="1" customWidth="1"/>
    <col min="13" max="13" width="12.7109375" bestFit="1" customWidth="1"/>
    <col min="14" max="14" width="14.5703125" bestFit="1" customWidth="1"/>
    <col min="15" max="15" width="24.28515625" customWidth="1"/>
    <col min="16" max="16" width="12.85546875" bestFit="1" customWidth="1"/>
  </cols>
  <sheetData>
    <row r="1" spans="1:16" ht="24.95" customHeight="1" thickBot="1"/>
    <row r="2" spans="1:16" ht="24.95" customHeight="1" thickTop="1" thickBot="1">
      <c r="A2" s="123" t="s">
        <v>0</v>
      </c>
      <c r="B2" s="124" t="s">
        <v>1</v>
      </c>
      <c r="C2" s="242" t="s">
        <v>2</v>
      </c>
      <c r="D2" s="239" t="s">
        <v>3</v>
      </c>
      <c r="E2" s="240"/>
      <c r="F2" s="125">
        <f>SUMIF(D16:D102,"D",N16:N102)</f>
        <v>2.0259251000000003</v>
      </c>
      <c r="G2" s="239" t="s">
        <v>4</v>
      </c>
      <c r="H2" s="240"/>
      <c r="I2" s="180">
        <f>SUMIF(D16:D102,"D",O16:O102)/1.3</f>
        <v>1.556541346153846</v>
      </c>
      <c r="J2" s="241" t="s">
        <v>5</v>
      </c>
      <c r="K2" s="240"/>
      <c r="L2" s="125">
        <f>480/I4</f>
        <v>183.44827636894419</v>
      </c>
      <c r="M2" s="239" t="s">
        <v>6</v>
      </c>
      <c r="N2" s="240"/>
      <c r="O2" s="126">
        <f>((F2+F3)/1.3-(I2+I3))*MIN(L2:L3)</f>
        <v>2.2169535274694425</v>
      </c>
      <c r="P2" s="237" t="s">
        <v>7</v>
      </c>
    </row>
    <row r="3" spans="1:16" ht="24.95" customHeight="1" thickTop="1" thickBot="1">
      <c r="A3" s="123" t="s">
        <v>8</v>
      </c>
      <c r="B3" s="124" t="s">
        <v>9</v>
      </c>
      <c r="C3" s="243"/>
      <c r="D3" s="245" t="s">
        <v>10</v>
      </c>
      <c r="E3" s="246"/>
      <c r="F3" s="127">
        <f>SUMIF(D16:D102,"R",N16:N102)</f>
        <v>0.13205417731227106</v>
      </c>
      <c r="G3" s="245" t="s">
        <v>11</v>
      </c>
      <c r="H3" s="246"/>
      <c r="I3" s="181">
        <f>SUMIF(D16:D102,"R",O16:O102)/1.3</f>
        <v>9.135781630228744E-2</v>
      </c>
      <c r="J3" s="247" t="s">
        <v>12</v>
      </c>
      <c r="K3" s="246"/>
      <c r="L3" s="127">
        <f>480/(F2/1.3+F3/1.3)/1.06</f>
        <v>272.79188983510971</v>
      </c>
      <c r="M3" s="245" t="s">
        <v>13</v>
      </c>
      <c r="N3" s="246"/>
      <c r="O3" s="128">
        <f>IF((480-L4)&lt;O2,L3,L2)</f>
        <v>183.44827636894419</v>
      </c>
      <c r="P3" s="238"/>
    </row>
    <row r="4" spans="1:16" ht="24.95" customHeight="1" thickTop="1" thickBot="1">
      <c r="A4" s="123" t="s">
        <v>14</v>
      </c>
      <c r="B4" s="124">
        <f>SUMIF(D16:D83,"MC",N16:N83)</f>
        <v>1.06</v>
      </c>
      <c r="C4" s="244"/>
      <c r="D4" s="239" t="s">
        <v>15</v>
      </c>
      <c r="E4" s="240"/>
      <c r="F4" s="125">
        <f>IF(1.1*(B4*1.08-F3/1.3)&lt;0,0,1.1*(B4*1.08-F3/1.3))</f>
        <v>1.14754184996654</v>
      </c>
      <c r="G4" s="239" t="s">
        <v>16</v>
      </c>
      <c r="H4" s="240"/>
      <c r="I4" s="126">
        <f>IF(F4=0,(F2/1.3+F3/1.3)*1.06,B4+I2)</f>
        <v>2.6165413461538458</v>
      </c>
      <c r="J4" s="241" t="s">
        <v>17</v>
      </c>
      <c r="K4" s="240"/>
      <c r="L4" s="125">
        <f>(I2+I3)*MIN(L2:L3)*1.06</f>
        <v>320.44251664134873</v>
      </c>
      <c r="M4" s="239" t="s">
        <v>18</v>
      </c>
      <c r="N4" s="240"/>
      <c r="O4" s="129">
        <f>8*1.397*100/O3</f>
        <v>6.0921804342948711</v>
      </c>
      <c r="P4" s="196">
        <v>45</v>
      </c>
    </row>
    <row r="5" spans="1:16" ht="0.2" customHeight="1" thickTop="1">
      <c r="A5" s="197"/>
      <c r="B5" s="197"/>
      <c r="C5" s="198"/>
      <c r="D5" s="199"/>
      <c r="E5" s="199"/>
      <c r="F5" s="200"/>
      <c r="G5" s="199"/>
      <c r="H5" s="199"/>
      <c r="I5" s="200"/>
      <c r="J5" s="199"/>
      <c r="K5" s="199"/>
      <c r="L5" s="200"/>
      <c r="M5" s="199"/>
      <c r="N5" s="199"/>
      <c r="O5" s="201"/>
      <c r="P5" s="202"/>
    </row>
    <row r="6" spans="1:16" ht="0.2" customHeight="1">
      <c r="A6" s="197"/>
      <c r="B6" s="197"/>
      <c r="C6" s="203" t="s">
        <v>19</v>
      </c>
      <c r="D6" s="207">
        <f t="shared" ref="D6:D13" si="0">SUMIFS($O$15:$O$90,$P$15:$P$90,C6)</f>
        <v>0</v>
      </c>
      <c r="E6" s="204">
        <f>+D6*$O$3</f>
        <v>0</v>
      </c>
      <c r="F6" s="200"/>
      <c r="G6" s="199"/>
      <c r="H6" s="199"/>
      <c r="I6" s="200"/>
      <c r="J6" s="199"/>
      <c r="K6" s="199"/>
      <c r="L6" s="200"/>
      <c r="M6" s="199"/>
      <c r="N6" s="199"/>
      <c r="O6" s="201"/>
      <c r="P6" s="202"/>
    </row>
    <row r="7" spans="1:16" ht="0.2" customHeight="1">
      <c r="A7" s="197"/>
      <c r="B7" s="197"/>
      <c r="C7" s="187" t="s">
        <v>20</v>
      </c>
      <c r="D7" s="208">
        <f t="shared" si="0"/>
        <v>1.4260606060606062E-2</v>
      </c>
      <c r="E7" s="205">
        <f t="shared" ref="E7:E13" si="1">+D7*$O$3</f>
        <v>2.6160836017947013</v>
      </c>
      <c r="F7" s="200"/>
      <c r="G7" s="199"/>
      <c r="H7" s="199"/>
      <c r="I7" s="200"/>
      <c r="J7" s="199"/>
      <c r="K7" s="199"/>
      <c r="L7" s="200"/>
      <c r="M7" s="199"/>
      <c r="N7" s="199"/>
      <c r="O7" s="201"/>
      <c r="P7" s="202"/>
    </row>
    <row r="8" spans="1:16" ht="0.2" customHeight="1">
      <c r="A8" s="197"/>
      <c r="B8" s="197"/>
      <c r="C8" s="187" t="s">
        <v>21</v>
      </c>
      <c r="D8" s="208">
        <f t="shared" si="0"/>
        <v>1.2543636363636363E-2</v>
      </c>
      <c r="E8" s="205">
        <f t="shared" si="1"/>
        <v>2.3011084703079017</v>
      </c>
      <c r="F8" s="200"/>
      <c r="G8" s="199"/>
      <c r="H8" s="199"/>
      <c r="I8" s="200"/>
      <c r="J8" s="199"/>
      <c r="K8" s="199"/>
      <c r="L8" s="200"/>
      <c r="M8" s="199"/>
      <c r="N8" s="199"/>
      <c r="O8" s="201"/>
      <c r="P8" s="202"/>
    </row>
    <row r="9" spans="1:16" ht="0.2" customHeight="1">
      <c r="A9" s="197"/>
      <c r="B9" s="197"/>
      <c r="C9" s="187" t="s">
        <v>22</v>
      </c>
      <c r="D9" s="208">
        <f t="shared" si="0"/>
        <v>6.8424999999999986E-2</v>
      </c>
      <c r="E9" s="205">
        <f t="shared" si="1"/>
        <v>12.552448310545003</v>
      </c>
      <c r="F9" s="200"/>
      <c r="G9" s="199"/>
      <c r="H9" s="199"/>
      <c r="I9" s="200"/>
      <c r="J9" s="199"/>
      <c r="K9" s="199"/>
      <c r="L9" s="200"/>
      <c r="M9" s="199"/>
      <c r="N9" s="199"/>
      <c r="O9" s="201"/>
      <c r="P9" s="202"/>
    </row>
    <row r="10" spans="1:16" ht="0.2" customHeight="1">
      <c r="A10" s="197"/>
      <c r="B10" s="197"/>
      <c r="C10" s="187" t="s">
        <v>23</v>
      </c>
      <c r="D10" s="208">
        <f t="shared" si="0"/>
        <v>3.5487499999999998E-3</v>
      </c>
      <c r="E10" s="205">
        <f>+D10*$O$3</f>
        <v>0.65101207076429068</v>
      </c>
      <c r="F10" s="200"/>
      <c r="G10" s="199"/>
      <c r="H10" s="199"/>
      <c r="I10" s="200"/>
      <c r="J10" s="199"/>
      <c r="K10" s="199"/>
      <c r="L10" s="200"/>
      <c r="M10" s="199"/>
      <c r="N10" s="199"/>
      <c r="O10" s="201"/>
      <c r="P10" s="202"/>
    </row>
    <row r="11" spans="1:16" ht="0.2" customHeight="1">
      <c r="A11" s="197"/>
      <c r="B11" s="197"/>
      <c r="C11" s="187" t="s">
        <v>24</v>
      </c>
      <c r="D11" s="208">
        <f t="shared" si="0"/>
        <v>1.7692736950549449E-2</v>
      </c>
      <c r="E11" s="205">
        <f t="shared" si="1"/>
        <v>3.2457020978274262</v>
      </c>
      <c r="F11" s="200"/>
      <c r="G11" s="199"/>
      <c r="H11" s="199"/>
      <c r="I11" s="200"/>
      <c r="J11" s="199"/>
      <c r="K11" s="199"/>
      <c r="L11" s="200"/>
      <c r="M11" s="199"/>
      <c r="N11" s="199"/>
      <c r="O11" s="201"/>
      <c r="P11" s="202"/>
    </row>
    <row r="12" spans="1:16" ht="0.2" customHeight="1">
      <c r="A12" s="197"/>
      <c r="B12" s="197"/>
      <c r="C12" s="187" t="s">
        <v>25</v>
      </c>
      <c r="D12" s="208">
        <f t="shared" si="0"/>
        <v>5.8431818181818185E-3</v>
      </c>
      <c r="E12" s="205">
        <f t="shared" si="1"/>
        <v>1.0719216330558081</v>
      </c>
      <c r="F12" s="200"/>
      <c r="G12" s="199"/>
      <c r="H12" s="199"/>
      <c r="I12" s="200"/>
      <c r="J12" s="199"/>
      <c r="K12" s="199"/>
      <c r="L12" s="200"/>
      <c r="M12" s="199"/>
      <c r="N12" s="199"/>
      <c r="O12" s="201"/>
      <c r="P12" s="202"/>
    </row>
    <row r="13" spans="1:16" ht="0.2" customHeight="1" thickBot="1">
      <c r="A13" s="197"/>
      <c r="B13" s="197"/>
      <c r="C13" s="189" t="s">
        <v>26</v>
      </c>
      <c r="D13" s="209">
        <f t="shared" si="0"/>
        <v>2.0199549999999999</v>
      </c>
      <c r="E13" s="206">
        <f t="shared" si="1"/>
        <v>370.55726309283068</v>
      </c>
      <c r="F13" s="200"/>
      <c r="G13" s="199"/>
      <c r="H13" s="199"/>
      <c r="I13" s="200"/>
      <c r="J13" s="199"/>
      <c r="K13" s="199"/>
      <c r="L13" s="200"/>
      <c r="M13" s="199"/>
      <c r="N13" s="199"/>
      <c r="O13" s="201"/>
      <c r="P13" s="202"/>
    </row>
    <row r="14" spans="1:16" ht="24.95" customHeight="1" thickTop="1"/>
    <row r="15" spans="1:16" ht="24.95" customHeight="1">
      <c r="A15" s="1" t="s">
        <v>27</v>
      </c>
      <c r="B15" s="1" t="s">
        <v>28</v>
      </c>
      <c r="C15" s="1" t="s">
        <v>29</v>
      </c>
      <c r="D15" s="2" t="s">
        <v>30</v>
      </c>
      <c r="E15" s="2" t="s">
        <v>31</v>
      </c>
      <c r="F15" s="2" t="s">
        <v>32</v>
      </c>
      <c r="G15" s="2" t="s">
        <v>33</v>
      </c>
      <c r="H15" s="2" t="s">
        <v>34</v>
      </c>
      <c r="I15" s="2" t="s">
        <v>35</v>
      </c>
      <c r="J15" s="2" t="s">
        <v>36</v>
      </c>
      <c r="K15" s="3" t="s">
        <v>37</v>
      </c>
      <c r="L15" s="4" t="s">
        <v>38</v>
      </c>
      <c r="M15" s="2" t="s">
        <v>39</v>
      </c>
      <c r="N15" s="4" t="s">
        <v>40</v>
      </c>
      <c r="O15" s="4" t="s">
        <v>41</v>
      </c>
      <c r="P15" s="2" t="s">
        <v>42</v>
      </c>
    </row>
    <row r="16" spans="1:16" ht="24.95" customHeight="1">
      <c r="A16" s="5" t="s">
        <v>43</v>
      </c>
      <c r="B16" s="5">
        <v>1</v>
      </c>
      <c r="C16" s="6" t="s">
        <v>44</v>
      </c>
      <c r="D16" s="5" t="s">
        <v>45</v>
      </c>
      <c r="E16" s="5">
        <v>90</v>
      </c>
      <c r="F16" s="5"/>
      <c r="G16" s="5"/>
      <c r="H16" s="5"/>
      <c r="I16" s="5"/>
      <c r="J16" s="5">
        <v>100</v>
      </c>
      <c r="K16" s="7">
        <v>1</v>
      </c>
      <c r="L16" s="8">
        <f>(AVERAGEA(E16:I16)/100)*(J16/100)*(K16)</f>
        <v>0.9</v>
      </c>
      <c r="M16" s="9">
        <v>1</v>
      </c>
      <c r="N16" s="10">
        <f t="shared" ref="N16:N34" si="2">+L16*M16</f>
        <v>0.9</v>
      </c>
      <c r="O16" s="10">
        <f>+N16/K16</f>
        <v>0.9</v>
      </c>
      <c r="P16" t="s">
        <v>46</v>
      </c>
    </row>
    <row r="17" spans="1:16" ht="24.95" customHeight="1">
      <c r="A17" s="5" t="s">
        <v>43</v>
      </c>
      <c r="B17" s="5">
        <v>2</v>
      </c>
      <c r="C17" s="6" t="s">
        <v>47</v>
      </c>
      <c r="D17" s="5" t="s">
        <v>48</v>
      </c>
      <c r="E17" s="167">
        <v>92</v>
      </c>
      <c r="F17" s="5"/>
      <c r="G17" s="5"/>
      <c r="H17" s="5"/>
      <c r="I17" s="5"/>
      <c r="J17" s="5">
        <v>100</v>
      </c>
      <c r="K17" s="7">
        <v>1.1000000000000001</v>
      </c>
      <c r="L17" s="8">
        <f t="shared" ref="L17:L48" si="3">(AVERAGEA(E17:I17)/100)*(J17/100)*(K17)</f>
        <v>1.0120000000000002</v>
      </c>
      <c r="M17" s="9">
        <v>5.0000000000000001E-4</v>
      </c>
      <c r="N17" s="10">
        <f t="shared" ref="N17:N20" si="4">+L17*M17</f>
        <v>5.0600000000000016E-4</v>
      </c>
      <c r="O17" s="179">
        <f t="shared" ref="O17:O27" si="5">+N17/K17</f>
        <v>4.6000000000000012E-4</v>
      </c>
      <c r="P17" s="169" t="s">
        <v>26</v>
      </c>
    </row>
    <row r="18" spans="1:16" ht="24.95" customHeight="1">
      <c r="A18" s="5" t="s">
        <v>43</v>
      </c>
      <c r="B18" s="5">
        <v>3</v>
      </c>
      <c r="C18" s="6" t="s">
        <v>49</v>
      </c>
      <c r="D18" s="5" t="s">
        <v>48</v>
      </c>
      <c r="E18" s="167">
        <v>930</v>
      </c>
      <c r="F18" s="5"/>
      <c r="G18" s="5"/>
      <c r="H18" s="5"/>
      <c r="I18" s="5"/>
      <c r="J18" s="5">
        <v>100</v>
      </c>
      <c r="K18" s="7">
        <v>1.1000000000000001</v>
      </c>
      <c r="L18" s="8">
        <f t="shared" si="3"/>
        <v>10.230000000000002</v>
      </c>
      <c r="M18" s="9">
        <v>5.0000000000000001E-4</v>
      </c>
      <c r="N18" s="10">
        <f t="shared" si="4"/>
        <v>5.1150000000000015E-3</v>
      </c>
      <c r="O18" s="179">
        <f t="shared" si="5"/>
        <v>4.6500000000000014E-3</v>
      </c>
      <c r="P18" s="169" t="s">
        <v>26</v>
      </c>
    </row>
    <row r="19" spans="1:16" ht="24.95" customHeight="1">
      <c r="A19" s="5" t="s">
        <v>43</v>
      </c>
      <c r="B19" s="5">
        <v>4</v>
      </c>
      <c r="C19" s="6" t="s">
        <v>50</v>
      </c>
      <c r="D19" s="5" t="s">
        <v>48</v>
      </c>
      <c r="E19" s="167">
        <v>678</v>
      </c>
      <c r="F19" s="5"/>
      <c r="G19" s="5"/>
      <c r="H19" s="5"/>
      <c r="I19" s="5"/>
      <c r="J19" s="5">
        <v>100</v>
      </c>
      <c r="K19" s="7">
        <v>1.1000000000000001</v>
      </c>
      <c r="L19" s="8">
        <f t="shared" si="3"/>
        <v>7.4580000000000011</v>
      </c>
      <c r="M19" s="9">
        <v>5.0000000000000001E-4</v>
      </c>
      <c r="N19" s="10">
        <f t="shared" si="4"/>
        <v>3.7290000000000005E-3</v>
      </c>
      <c r="O19" s="179">
        <f t="shared" si="5"/>
        <v>3.3900000000000002E-3</v>
      </c>
      <c r="P19" s="169" t="s">
        <v>26</v>
      </c>
    </row>
    <row r="20" spans="1:16" ht="24.95" customHeight="1">
      <c r="A20" s="5" t="s">
        <v>43</v>
      </c>
      <c r="B20" s="5">
        <v>5</v>
      </c>
      <c r="C20" s="6" t="s">
        <v>51</v>
      </c>
      <c r="D20" s="5" t="s">
        <v>48</v>
      </c>
      <c r="E20" s="5">
        <v>70</v>
      </c>
      <c r="F20" s="5"/>
      <c r="G20" s="5"/>
      <c r="H20" s="5"/>
      <c r="I20" s="5"/>
      <c r="J20" s="5">
        <v>130</v>
      </c>
      <c r="K20" s="7">
        <v>1.1000000000000001</v>
      </c>
      <c r="L20" s="8">
        <f t="shared" si="3"/>
        <v>1.0009999999999999</v>
      </c>
      <c r="M20" s="9">
        <v>5.0000000000000001E-4</v>
      </c>
      <c r="N20" s="10">
        <f t="shared" si="4"/>
        <v>5.0049999999999997E-4</v>
      </c>
      <c r="O20" s="179">
        <f t="shared" si="5"/>
        <v>4.5499999999999995E-4</v>
      </c>
      <c r="P20" s="169" t="s">
        <v>26</v>
      </c>
    </row>
    <row r="21" spans="1:16" ht="24.95" customHeight="1">
      <c r="A21" s="5" t="s">
        <v>43</v>
      </c>
      <c r="B21" s="5">
        <v>6</v>
      </c>
      <c r="C21" s="6" t="s">
        <v>52</v>
      </c>
      <c r="D21" s="5" t="s">
        <v>48</v>
      </c>
      <c r="E21" s="167">
        <v>250</v>
      </c>
      <c r="F21" s="5"/>
      <c r="G21" s="5"/>
      <c r="H21" s="5"/>
      <c r="I21" s="5"/>
      <c r="J21" s="5">
        <v>100</v>
      </c>
      <c r="K21" s="7">
        <v>1.1000000000000001</v>
      </c>
      <c r="L21" s="8">
        <f t="shared" si="3"/>
        <v>2.75</v>
      </c>
      <c r="M21" s="9">
        <v>5.0000000000000001E-4</v>
      </c>
      <c r="N21" s="10">
        <f t="shared" si="2"/>
        <v>1.3749999999999999E-3</v>
      </c>
      <c r="O21" s="179">
        <f t="shared" si="5"/>
        <v>1.2499999999999998E-3</v>
      </c>
      <c r="P21" s="169" t="s">
        <v>26</v>
      </c>
    </row>
    <row r="22" spans="1:16" ht="24.95" customHeight="1">
      <c r="A22" s="5" t="s">
        <v>43</v>
      </c>
      <c r="B22" s="5">
        <v>7</v>
      </c>
      <c r="C22" s="6" t="s">
        <v>53</v>
      </c>
      <c r="D22" s="5" t="s">
        <v>48</v>
      </c>
      <c r="E22" s="167">
        <v>780</v>
      </c>
      <c r="F22" s="5"/>
      <c r="G22" s="5"/>
      <c r="H22" s="5"/>
      <c r="I22" s="5"/>
      <c r="J22" s="5">
        <v>100</v>
      </c>
      <c r="K22" s="7">
        <v>1.1000000000000001</v>
      </c>
      <c r="L22" s="8">
        <f t="shared" si="3"/>
        <v>8.58</v>
      </c>
      <c r="M22" s="9">
        <v>5.0000000000000001E-4</v>
      </c>
      <c r="N22" s="10">
        <f t="shared" si="2"/>
        <v>4.2900000000000004E-3</v>
      </c>
      <c r="O22" s="179">
        <f t="shared" si="5"/>
        <v>3.9000000000000003E-3</v>
      </c>
      <c r="P22" s="169" t="s">
        <v>26</v>
      </c>
    </row>
    <row r="23" spans="1:16" ht="24.95" customHeight="1">
      <c r="A23" s="5" t="s">
        <v>43</v>
      </c>
      <c r="B23" s="5">
        <v>8</v>
      </c>
      <c r="C23" s="6" t="s">
        <v>54</v>
      </c>
      <c r="D23" s="5" t="s">
        <v>48</v>
      </c>
      <c r="E23" s="167">
        <v>1105</v>
      </c>
      <c r="F23" s="5"/>
      <c r="G23" s="5"/>
      <c r="H23" s="5"/>
      <c r="I23" s="5"/>
      <c r="J23" s="5">
        <v>100</v>
      </c>
      <c r="K23" s="7">
        <v>1.1000000000000001</v>
      </c>
      <c r="L23" s="8">
        <f t="shared" si="3"/>
        <v>12.155000000000001</v>
      </c>
      <c r="M23" s="9">
        <v>5.0000000000000001E-4</v>
      </c>
      <c r="N23" s="10">
        <f t="shared" si="2"/>
        <v>6.0775000000000004E-3</v>
      </c>
      <c r="O23" s="179">
        <f t="shared" si="5"/>
        <v>5.5249999999999995E-3</v>
      </c>
      <c r="P23" s="169" t="s">
        <v>26</v>
      </c>
    </row>
    <row r="24" spans="1:16" ht="24.95" customHeight="1">
      <c r="A24" s="5" t="s">
        <v>43</v>
      </c>
      <c r="B24" s="5">
        <v>9</v>
      </c>
      <c r="C24" s="6" t="s">
        <v>55</v>
      </c>
      <c r="D24" s="5" t="s">
        <v>48</v>
      </c>
      <c r="E24" s="5">
        <v>50</v>
      </c>
      <c r="F24" s="5"/>
      <c r="G24" s="5"/>
      <c r="H24" s="5"/>
      <c r="I24" s="5"/>
      <c r="J24" s="5">
        <v>130</v>
      </c>
      <c r="K24" s="7">
        <v>1.1000000000000001</v>
      </c>
      <c r="L24" s="8">
        <f t="shared" si="3"/>
        <v>0.71500000000000008</v>
      </c>
      <c r="M24" s="9">
        <v>5.0000000000000001E-4</v>
      </c>
      <c r="N24" s="8">
        <f t="shared" si="2"/>
        <v>3.5750000000000007E-4</v>
      </c>
      <c r="O24" s="179">
        <f t="shared" si="5"/>
        <v>3.2500000000000004E-4</v>
      </c>
      <c r="P24" s="169" t="s">
        <v>26</v>
      </c>
    </row>
    <row r="25" spans="1:16" ht="24.95" customHeight="1">
      <c r="A25" s="5" t="s">
        <v>43</v>
      </c>
      <c r="B25" s="5">
        <v>10</v>
      </c>
      <c r="C25" s="6" t="s">
        <v>56</v>
      </c>
      <c r="D25" s="5" t="s">
        <v>57</v>
      </c>
      <c r="E25" s="167">
        <v>63.090909090909079</v>
      </c>
      <c r="F25" s="5"/>
      <c r="G25" s="5"/>
      <c r="H25" s="5"/>
      <c r="I25" s="5"/>
      <c r="J25" s="5">
        <v>100</v>
      </c>
      <c r="K25" s="7">
        <v>1.1000000000000001</v>
      </c>
      <c r="L25" s="8">
        <f t="shared" si="3"/>
        <v>0.69399999999999984</v>
      </c>
      <c r="M25" s="12">
        <v>2.5000000000000001E-3</v>
      </c>
      <c r="N25" s="8">
        <f t="shared" si="2"/>
        <v>1.7349999999999996E-3</v>
      </c>
      <c r="O25" s="179">
        <f t="shared" si="5"/>
        <v>1.5772727272727269E-3</v>
      </c>
      <c r="P25" s="169" t="s">
        <v>21</v>
      </c>
    </row>
    <row r="26" spans="1:16" ht="24.95" customHeight="1">
      <c r="A26" s="5" t="s">
        <v>58</v>
      </c>
      <c r="B26" s="5">
        <v>11</v>
      </c>
      <c r="C26" s="6" t="s">
        <v>59</v>
      </c>
      <c r="D26" s="5" t="s">
        <v>45</v>
      </c>
      <c r="E26" s="167">
        <v>95</v>
      </c>
      <c r="F26" s="5"/>
      <c r="G26" s="5"/>
      <c r="H26" s="5"/>
      <c r="I26" s="5"/>
      <c r="J26" s="5">
        <v>100</v>
      </c>
      <c r="K26" s="7">
        <v>1</v>
      </c>
      <c r="L26" s="8">
        <f t="shared" si="3"/>
        <v>0.95</v>
      </c>
      <c r="M26" s="9">
        <v>1</v>
      </c>
      <c r="N26" s="8">
        <f t="shared" si="2"/>
        <v>0.95</v>
      </c>
      <c r="O26" s="179">
        <f t="shared" si="5"/>
        <v>0.95</v>
      </c>
      <c r="P26" s="169" t="s">
        <v>46</v>
      </c>
    </row>
    <row r="27" spans="1:16" ht="24.95" customHeight="1">
      <c r="A27" s="5" t="s">
        <v>58</v>
      </c>
      <c r="B27" s="5">
        <v>12</v>
      </c>
      <c r="C27" s="6" t="s">
        <v>60</v>
      </c>
      <c r="D27" s="5" t="s">
        <v>57</v>
      </c>
      <c r="E27" s="167">
        <v>13</v>
      </c>
      <c r="F27" s="5">
        <v>15</v>
      </c>
      <c r="G27" s="5">
        <v>17</v>
      </c>
      <c r="H27" s="5">
        <v>17</v>
      </c>
      <c r="I27" s="5">
        <v>18</v>
      </c>
      <c r="J27" s="5">
        <v>105</v>
      </c>
      <c r="K27" s="7">
        <v>1.1000000000000001</v>
      </c>
      <c r="L27" s="8">
        <f t="shared" si="3"/>
        <v>0.18480000000000002</v>
      </c>
      <c r="M27" s="195">
        <v>5.0000000000000001E-3</v>
      </c>
      <c r="N27" s="10">
        <f t="shared" si="2"/>
        <v>9.2400000000000013E-4</v>
      </c>
      <c r="O27" s="179">
        <f t="shared" si="5"/>
        <v>8.4000000000000003E-4</v>
      </c>
      <c r="P27" s="169" t="s">
        <v>21</v>
      </c>
    </row>
    <row r="28" spans="1:16" ht="24.95" customHeight="1">
      <c r="A28" s="5" t="s">
        <v>58</v>
      </c>
      <c r="B28" s="5">
        <v>13</v>
      </c>
      <c r="C28" s="6" t="s">
        <v>61</v>
      </c>
      <c r="D28" s="5" t="s">
        <v>57</v>
      </c>
      <c r="E28" s="5">
        <v>16.90909090909091</v>
      </c>
      <c r="F28" s="5"/>
      <c r="G28" s="5"/>
      <c r="H28" s="5"/>
      <c r="I28" s="5"/>
      <c r="J28" s="5">
        <v>100</v>
      </c>
      <c r="K28" s="7">
        <v>1.1000000000000001</v>
      </c>
      <c r="L28" s="8">
        <f t="shared" si="3"/>
        <v>0.18600000000000003</v>
      </c>
      <c r="M28" s="195">
        <v>5.0000000000000001E-3</v>
      </c>
      <c r="N28" s="10">
        <f>+L28*M28</f>
        <v>9.3000000000000016E-4</v>
      </c>
      <c r="O28" s="10">
        <f t="shared" ref="O28:O49" si="6">+N28/K28</f>
        <v>8.454545454545455E-4</v>
      </c>
      <c r="P28" s="169" t="s">
        <v>21</v>
      </c>
    </row>
    <row r="29" spans="1:16" ht="24.95" customHeight="1">
      <c r="A29" s="5" t="s">
        <v>62</v>
      </c>
      <c r="B29" s="5">
        <v>14</v>
      </c>
      <c r="C29" s="6" t="s">
        <v>63</v>
      </c>
      <c r="D29" s="5" t="s">
        <v>45</v>
      </c>
      <c r="E29" s="5">
        <v>50</v>
      </c>
      <c r="F29" s="5"/>
      <c r="G29" s="5"/>
      <c r="H29" s="5"/>
      <c r="I29" s="5"/>
      <c r="J29" s="5">
        <v>100</v>
      </c>
      <c r="K29" s="7">
        <v>1</v>
      </c>
      <c r="L29" s="8">
        <f t="shared" si="3"/>
        <v>0.5</v>
      </c>
      <c r="M29" s="5">
        <v>1</v>
      </c>
      <c r="N29" s="10">
        <f t="shared" si="2"/>
        <v>0.5</v>
      </c>
      <c r="O29" s="179">
        <f t="shared" si="6"/>
        <v>0.5</v>
      </c>
      <c r="P29" s="169" t="s">
        <v>46</v>
      </c>
    </row>
    <row r="30" spans="1:16" ht="24.95" customHeight="1">
      <c r="A30" s="5" t="s">
        <v>64</v>
      </c>
      <c r="B30" s="5">
        <v>15</v>
      </c>
      <c r="C30" s="6" t="s">
        <v>65</v>
      </c>
      <c r="D30" s="5" t="s">
        <v>14</v>
      </c>
      <c r="E30" s="167">
        <v>106</v>
      </c>
      <c r="F30" s="5"/>
      <c r="G30" s="5"/>
      <c r="H30" s="5"/>
      <c r="I30" s="5"/>
      <c r="J30" s="5">
        <v>100</v>
      </c>
      <c r="K30" s="7">
        <v>1</v>
      </c>
      <c r="L30" s="8">
        <f t="shared" si="3"/>
        <v>1.06</v>
      </c>
      <c r="M30" s="9">
        <v>1</v>
      </c>
      <c r="N30" s="10">
        <f t="shared" si="2"/>
        <v>1.06</v>
      </c>
      <c r="O30" s="179">
        <f t="shared" si="6"/>
        <v>1.06</v>
      </c>
      <c r="P30" s="169" t="s">
        <v>46</v>
      </c>
    </row>
    <row r="31" spans="1:16" ht="24.95" customHeight="1">
      <c r="A31" s="5" t="s">
        <v>64</v>
      </c>
      <c r="B31" s="5">
        <v>16</v>
      </c>
      <c r="C31" s="6" t="s">
        <v>60</v>
      </c>
      <c r="D31" s="5" t="s">
        <v>57</v>
      </c>
      <c r="E31" s="5">
        <v>13</v>
      </c>
      <c r="F31" s="5">
        <v>15</v>
      </c>
      <c r="G31" s="5">
        <v>17</v>
      </c>
      <c r="H31" s="5">
        <v>17</v>
      </c>
      <c r="I31" s="5">
        <v>18</v>
      </c>
      <c r="J31" s="5">
        <v>105</v>
      </c>
      <c r="K31" s="7">
        <v>1.1000000000000001</v>
      </c>
      <c r="L31" s="8">
        <f t="shared" si="3"/>
        <v>0.18480000000000002</v>
      </c>
      <c r="M31" s="195">
        <v>5.0000000000000001E-3</v>
      </c>
      <c r="N31" s="10">
        <f t="shared" si="2"/>
        <v>9.2400000000000013E-4</v>
      </c>
      <c r="O31" s="10">
        <f t="shared" si="6"/>
        <v>8.4000000000000003E-4</v>
      </c>
      <c r="P31" s="169" t="s">
        <v>21</v>
      </c>
    </row>
    <row r="32" spans="1:16" ht="24.95" customHeight="1">
      <c r="A32" s="5" t="s">
        <v>64</v>
      </c>
      <c r="B32" s="5">
        <v>17</v>
      </c>
      <c r="C32" s="6" t="s">
        <v>66</v>
      </c>
      <c r="D32" s="5" t="s">
        <v>57</v>
      </c>
      <c r="E32" s="5">
        <v>16.90909090909091</v>
      </c>
      <c r="F32" s="5"/>
      <c r="G32" s="5"/>
      <c r="H32" s="5"/>
      <c r="I32" s="5"/>
      <c r="J32" s="5">
        <v>100</v>
      </c>
      <c r="K32" s="7">
        <v>1.1000000000000001</v>
      </c>
      <c r="L32" s="8">
        <f t="shared" si="3"/>
        <v>0.18600000000000003</v>
      </c>
      <c r="M32" s="195">
        <v>5.0000000000000001E-3</v>
      </c>
      <c r="N32" s="10">
        <f t="shared" si="2"/>
        <v>9.3000000000000016E-4</v>
      </c>
      <c r="O32" s="10">
        <f t="shared" si="6"/>
        <v>8.454545454545455E-4</v>
      </c>
      <c r="P32" s="169" t="s">
        <v>21</v>
      </c>
    </row>
    <row r="33" spans="1:16" ht="24.95" customHeight="1">
      <c r="A33" s="5" t="s">
        <v>64</v>
      </c>
      <c r="B33" s="5">
        <v>18</v>
      </c>
      <c r="C33" s="6" t="s">
        <v>67</v>
      </c>
      <c r="D33" s="5" t="s">
        <v>57</v>
      </c>
      <c r="E33" s="5">
        <v>16.90909090909091</v>
      </c>
      <c r="F33" s="5"/>
      <c r="G33" s="5"/>
      <c r="H33" s="5"/>
      <c r="I33" s="5"/>
      <c r="J33" s="5">
        <v>100</v>
      </c>
      <c r="K33" s="7">
        <v>1.1000000000000001</v>
      </c>
      <c r="L33" s="8">
        <f t="shared" si="3"/>
        <v>0.18600000000000003</v>
      </c>
      <c r="M33" s="195">
        <v>5.0000000000000001E-3</v>
      </c>
      <c r="N33" s="10">
        <f t="shared" si="2"/>
        <v>9.3000000000000016E-4</v>
      </c>
      <c r="O33" s="179">
        <f t="shared" si="6"/>
        <v>8.454545454545455E-4</v>
      </c>
      <c r="P33" s="169" t="s">
        <v>21</v>
      </c>
    </row>
    <row r="34" spans="1:16" ht="24.95" customHeight="1">
      <c r="A34" s="5" t="s">
        <v>64</v>
      </c>
      <c r="B34" s="5">
        <v>19</v>
      </c>
      <c r="C34" s="6" t="s">
        <v>68</v>
      </c>
      <c r="D34" s="5" t="s">
        <v>57</v>
      </c>
      <c r="E34" s="167">
        <v>6</v>
      </c>
      <c r="F34" s="5"/>
      <c r="G34" s="5"/>
      <c r="H34" s="5"/>
      <c r="I34" s="5"/>
      <c r="J34" s="5">
        <v>100</v>
      </c>
      <c r="K34" s="7">
        <v>1.1000000000000001</v>
      </c>
      <c r="L34" s="8">
        <f t="shared" si="3"/>
        <v>6.6000000000000003E-2</v>
      </c>
      <c r="M34" s="195">
        <v>5.0000000000000001E-3</v>
      </c>
      <c r="N34" s="10">
        <f t="shared" si="2"/>
        <v>3.3E-4</v>
      </c>
      <c r="O34" s="179">
        <f t="shared" si="6"/>
        <v>2.9999999999999997E-4</v>
      </c>
      <c r="P34" s="169" t="s">
        <v>21</v>
      </c>
    </row>
    <row r="35" spans="1:16" ht="24.95" customHeight="1">
      <c r="A35" s="5" t="s">
        <v>8</v>
      </c>
      <c r="B35" s="5">
        <v>20</v>
      </c>
      <c r="C35" s="193" t="s">
        <v>69</v>
      </c>
      <c r="D35" s="5" t="s">
        <v>57</v>
      </c>
      <c r="E35" s="167">
        <v>357</v>
      </c>
      <c r="F35" s="5"/>
      <c r="G35" s="5"/>
      <c r="H35" s="5"/>
      <c r="I35" s="5"/>
      <c r="J35" s="5">
        <v>115</v>
      </c>
      <c r="K35" s="7">
        <v>1.1200000000000001</v>
      </c>
      <c r="L35" s="8">
        <f t="shared" si="3"/>
        <v>4.59816</v>
      </c>
      <c r="M35" s="11">
        <v>1.6666666666666666E-2</v>
      </c>
      <c r="N35" s="10">
        <f t="shared" ref="N35:N50" si="7">+L35*M35</f>
        <v>7.6635999999999996E-2</v>
      </c>
      <c r="O35" s="179">
        <f t="shared" si="6"/>
        <v>6.8424999999999986E-2</v>
      </c>
      <c r="P35" s="169" t="s">
        <v>22</v>
      </c>
    </row>
    <row r="36" spans="1:16" ht="24.95" customHeight="1">
      <c r="A36" s="5" t="s">
        <v>64</v>
      </c>
      <c r="B36" s="5">
        <v>21</v>
      </c>
      <c r="C36" s="6" t="s">
        <v>70</v>
      </c>
      <c r="D36" s="5" t="s">
        <v>57</v>
      </c>
      <c r="E36" s="5">
        <v>15.090909090909092</v>
      </c>
      <c r="F36" s="5"/>
      <c r="G36" s="5"/>
      <c r="H36" s="5"/>
      <c r="I36" s="5"/>
      <c r="J36" s="5">
        <v>100</v>
      </c>
      <c r="K36" s="7">
        <v>1.1000000000000001</v>
      </c>
      <c r="L36" s="8">
        <f t="shared" si="3"/>
        <v>0.16600000000000001</v>
      </c>
      <c r="M36" s="11">
        <v>1.6666666666666666E-2</v>
      </c>
      <c r="N36" s="10">
        <f t="shared" si="7"/>
        <v>2.7666666666666668E-3</v>
      </c>
      <c r="O36" s="179">
        <f t="shared" si="6"/>
        <v>2.515151515151515E-3</v>
      </c>
      <c r="P36" s="169" t="s">
        <v>20</v>
      </c>
    </row>
    <row r="37" spans="1:16" ht="24.95" customHeight="1">
      <c r="A37" s="5" t="s">
        <v>71</v>
      </c>
      <c r="B37" s="5">
        <v>22</v>
      </c>
      <c r="C37" s="6" t="s">
        <v>72</v>
      </c>
      <c r="D37" s="5" t="s">
        <v>57</v>
      </c>
      <c r="E37" s="5">
        <v>29.363636363636367</v>
      </c>
      <c r="F37" s="5"/>
      <c r="G37" s="5"/>
      <c r="H37" s="5"/>
      <c r="I37" s="5"/>
      <c r="J37" s="5">
        <v>100</v>
      </c>
      <c r="K37" s="7">
        <v>1.1000000000000001</v>
      </c>
      <c r="L37" s="8">
        <f t="shared" si="3"/>
        <v>0.32300000000000006</v>
      </c>
      <c r="M37" s="11">
        <v>0.04</v>
      </c>
      <c r="N37" s="10">
        <f t="shared" si="7"/>
        <v>1.2920000000000003E-2</v>
      </c>
      <c r="O37" s="179">
        <f t="shared" si="6"/>
        <v>1.1745454545454547E-2</v>
      </c>
      <c r="P37" s="169" t="s">
        <v>20</v>
      </c>
    </row>
    <row r="38" spans="1:16" ht="24.95" customHeight="1">
      <c r="A38" s="5" t="s">
        <v>8</v>
      </c>
      <c r="B38" s="5">
        <v>23</v>
      </c>
      <c r="C38" s="6" t="s">
        <v>73</v>
      </c>
      <c r="D38" s="5" t="s">
        <v>48</v>
      </c>
      <c r="E38" s="167">
        <v>56</v>
      </c>
      <c r="F38" s="5">
        <v>63</v>
      </c>
      <c r="G38" s="5">
        <v>49</v>
      </c>
      <c r="H38" s="5"/>
      <c r="I38" s="5"/>
      <c r="J38" s="5">
        <v>120</v>
      </c>
      <c r="K38" s="7">
        <v>1.1200000000000001</v>
      </c>
      <c r="L38" s="8">
        <f t="shared" si="3"/>
        <v>0.75264000000000009</v>
      </c>
      <c r="M38" s="12">
        <v>2.5000000000000001E-3</v>
      </c>
      <c r="N38" s="10">
        <f t="shared" si="7"/>
        <v>1.8816000000000002E-3</v>
      </c>
      <c r="O38" s="179">
        <f t="shared" si="6"/>
        <v>1.6800000000000001E-3</v>
      </c>
      <c r="P38" s="169" t="s">
        <v>23</v>
      </c>
    </row>
    <row r="39" spans="1:16" ht="24.95" customHeight="1">
      <c r="A39" s="5" t="s">
        <v>8</v>
      </c>
      <c r="B39" s="5">
        <v>24</v>
      </c>
      <c r="C39" s="6" t="s">
        <v>74</v>
      </c>
      <c r="D39" s="5" t="s">
        <v>48</v>
      </c>
      <c r="E39" s="167">
        <v>65</v>
      </c>
      <c r="F39" s="5"/>
      <c r="G39" s="5"/>
      <c r="H39" s="5"/>
      <c r="I39" s="5"/>
      <c r="J39" s="5">
        <v>115</v>
      </c>
      <c r="K39" s="7">
        <v>1.1200000000000001</v>
      </c>
      <c r="L39" s="8">
        <f t="shared" si="3"/>
        <v>0.83720000000000006</v>
      </c>
      <c r="M39" s="12">
        <v>2.5000000000000001E-3</v>
      </c>
      <c r="N39" s="10">
        <f t="shared" si="7"/>
        <v>2.0930000000000002E-3</v>
      </c>
      <c r="O39" s="179">
        <f t="shared" si="6"/>
        <v>1.86875E-3</v>
      </c>
      <c r="P39" s="169" t="s">
        <v>23</v>
      </c>
    </row>
    <row r="40" spans="1:16" ht="24.95" customHeight="1">
      <c r="A40" s="5" t="s">
        <v>71</v>
      </c>
      <c r="B40" s="5">
        <v>25</v>
      </c>
      <c r="C40" s="6" t="s">
        <v>75</v>
      </c>
      <c r="D40" s="5" t="s">
        <v>57</v>
      </c>
      <c r="E40" s="5">
        <v>25</v>
      </c>
      <c r="F40" s="5">
        <v>25</v>
      </c>
      <c r="G40" s="5"/>
      <c r="H40" s="5"/>
      <c r="I40" s="5"/>
      <c r="J40" s="5">
        <v>80</v>
      </c>
      <c r="K40" s="7">
        <v>1.1000000000000001</v>
      </c>
      <c r="L40" s="8">
        <f t="shared" si="3"/>
        <v>0.22000000000000003</v>
      </c>
      <c r="M40" s="12">
        <v>2.6041666666666665E-3</v>
      </c>
      <c r="N40" s="10">
        <f>+L40*M40</f>
        <v>5.7291666666666667E-4</v>
      </c>
      <c r="O40" s="179">
        <f t="shared" si="6"/>
        <v>5.2083333333333333E-4</v>
      </c>
      <c r="P40" s="169" t="s">
        <v>24</v>
      </c>
    </row>
    <row r="41" spans="1:16" ht="24.95" customHeight="1">
      <c r="A41" s="5" t="s">
        <v>76</v>
      </c>
      <c r="B41" s="5">
        <v>26</v>
      </c>
      <c r="C41" s="6" t="s">
        <v>77</v>
      </c>
      <c r="D41" s="5" t="s">
        <v>57</v>
      </c>
      <c r="E41" s="5">
        <v>516</v>
      </c>
      <c r="F41" s="5"/>
      <c r="G41" s="5"/>
      <c r="H41" s="5"/>
      <c r="I41" s="5"/>
      <c r="J41" s="5">
        <v>100</v>
      </c>
      <c r="K41" s="7">
        <v>1.1000000000000001</v>
      </c>
      <c r="L41" s="8">
        <f t="shared" si="3"/>
        <v>5.676000000000001</v>
      </c>
      <c r="M41" s="12">
        <v>1.8315018315018315E-3</v>
      </c>
      <c r="N41" s="10">
        <f t="shared" si="7"/>
        <v>1.0395604395604397E-2</v>
      </c>
      <c r="O41" s="179">
        <f t="shared" si="6"/>
        <v>9.450549450549451E-3</v>
      </c>
      <c r="P41" s="169" t="s">
        <v>24</v>
      </c>
    </row>
    <row r="42" spans="1:16" ht="24.95" customHeight="1">
      <c r="A42" s="5" t="s">
        <v>8</v>
      </c>
      <c r="B42" s="5">
        <v>27</v>
      </c>
      <c r="C42" s="6" t="s">
        <v>78</v>
      </c>
      <c r="D42" s="5" t="s">
        <v>57</v>
      </c>
      <c r="E42" s="5">
        <v>593</v>
      </c>
      <c r="F42" s="5"/>
      <c r="G42" s="5"/>
      <c r="H42" s="5"/>
      <c r="I42" s="5"/>
      <c r="J42" s="5">
        <v>100</v>
      </c>
      <c r="K42" s="7">
        <v>1.1000000000000001</v>
      </c>
      <c r="L42" s="8">
        <f t="shared" si="3"/>
        <v>6.5230000000000006</v>
      </c>
      <c r="M42" s="12">
        <v>1.3020833333333333E-3</v>
      </c>
      <c r="N42" s="10">
        <f t="shared" si="7"/>
        <v>8.4934895833333329E-3</v>
      </c>
      <c r="O42" s="179">
        <f t="shared" si="6"/>
        <v>7.7213541666666654E-3</v>
      </c>
      <c r="P42" s="169" t="s">
        <v>24</v>
      </c>
    </row>
    <row r="43" spans="1:16" ht="24.95" customHeight="1">
      <c r="A43" s="5" t="s">
        <v>71</v>
      </c>
      <c r="B43" s="5">
        <v>28</v>
      </c>
      <c r="C43" s="6" t="s">
        <v>79</v>
      </c>
      <c r="D43" s="5" t="s">
        <v>57</v>
      </c>
      <c r="E43" s="167">
        <v>40</v>
      </c>
      <c r="F43" s="5"/>
      <c r="G43" s="5"/>
      <c r="H43" s="5"/>
      <c r="I43" s="5"/>
      <c r="J43" s="5">
        <v>100</v>
      </c>
      <c r="K43" s="7">
        <v>1.1000000000000001</v>
      </c>
      <c r="L43" s="8">
        <f t="shared" si="3"/>
        <v>0.44000000000000006</v>
      </c>
      <c r="M43" s="12">
        <v>0.01</v>
      </c>
      <c r="N43" s="10">
        <f t="shared" si="7"/>
        <v>4.4000000000000003E-3</v>
      </c>
      <c r="O43" s="179">
        <f t="shared" si="6"/>
        <v>4.0000000000000001E-3</v>
      </c>
      <c r="P43" s="169" t="s">
        <v>21</v>
      </c>
    </row>
    <row r="44" spans="1:16" ht="24.95" customHeight="1">
      <c r="A44" s="5" t="s">
        <v>71</v>
      </c>
      <c r="B44" s="5">
        <v>29</v>
      </c>
      <c r="C44" s="6" t="s">
        <v>80</v>
      </c>
      <c r="D44" s="5" t="s">
        <v>57</v>
      </c>
      <c r="E44" s="167">
        <v>3</v>
      </c>
      <c r="F44" s="5"/>
      <c r="G44" s="5"/>
      <c r="H44" s="5"/>
      <c r="I44" s="5"/>
      <c r="J44" s="5">
        <v>100</v>
      </c>
      <c r="K44" s="7">
        <v>1.1000000000000001</v>
      </c>
      <c r="L44" s="8">
        <f t="shared" si="3"/>
        <v>3.3000000000000002E-2</v>
      </c>
      <c r="M44" s="12">
        <v>0.04</v>
      </c>
      <c r="N44" s="10">
        <f t="shared" si="7"/>
        <v>1.32E-3</v>
      </c>
      <c r="O44" s="179">
        <f t="shared" si="6"/>
        <v>1.1999999999999999E-3</v>
      </c>
      <c r="P44" s="169" t="s">
        <v>21</v>
      </c>
    </row>
    <row r="45" spans="1:16" ht="24.95" customHeight="1">
      <c r="A45" s="5" t="s">
        <v>71</v>
      </c>
      <c r="B45" s="5">
        <v>30</v>
      </c>
      <c r="C45" s="6" t="s">
        <v>81</v>
      </c>
      <c r="D45" s="5" t="s">
        <v>57</v>
      </c>
      <c r="E45" s="5">
        <v>50</v>
      </c>
      <c r="F45" s="5"/>
      <c r="G45" s="5"/>
      <c r="H45" s="5"/>
      <c r="I45" s="5"/>
      <c r="J45" s="5">
        <v>100</v>
      </c>
      <c r="K45" s="7">
        <v>1.1000000000000001</v>
      </c>
      <c r="L45" s="8">
        <f t="shared" si="3"/>
        <v>0.55000000000000004</v>
      </c>
      <c r="M45" s="12">
        <v>2.5000000000000001E-3</v>
      </c>
      <c r="N45" s="10">
        <f t="shared" si="7"/>
        <v>1.3750000000000001E-3</v>
      </c>
      <c r="O45" s="179">
        <f t="shared" si="6"/>
        <v>1.25E-3</v>
      </c>
      <c r="P45" s="169" t="s">
        <v>21</v>
      </c>
    </row>
    <row r="46" spans="1:16" ht="24.95" customHeight="1">
      <c r="A46" s="5" t="s">
        <v>8</v>
      </c>
      <c r="B46" s="5">
        <v>31</v>
      </c>
      <c r="C46" s="6" t="s">
        <v>82</v>
      </c>
      <c r="D46" s="5" t="s">
        <v>57</v>
      </c>
      <c r="E46" s="5">
        <v>80</v>
      </c>
      <c r="F46" s="5"/>
      <c r="G46" s="5"/>
      <c r="H46" s="5"/>
      <c r="I46" s="5"/>
      <c r="J46" s="5">
        <v>110</v>
      </c>
      <c r="K46" s="7">
        <v>1.1200000000000001</v>
      </c>
      <c r="L46" s="8">
        <f t="shared" si="3"/>
        <v>0.98560000000000025</v>
      </c>
      <c r="M46" s="12">
        <v>2.5000000000000001E-3</v>
      </c>
      <c r="N46" s="10">
        <f t="shared" si="7"/>
        <v>2.4640000000000005E-3</v>
      </c>
      <c r="O46" s="179">
        <f t="shared" si="6"/>
        <v>2.2000000000000001E-3</v>
      </c>
      <c r="P46" s="169" t="s">
        <v>25</v>
      </c>
    </row>
    <row r="47" spans="1:16" ht="24.95" customHeight="1">
      <c r="A47" s="5" t="s">
        <v>8</v>
      </c>
      <c r="B47" s="5">
        <v>32</v>
      </c>
      <c r="C47" s="194" t="s">
        <v>83</v>
      </c>
      <c r="D47" s="5" t="s">
        <v>57</v>
      </c>
      <c r="E47" s="167">
        <v>42.636363636363633</v>
      </c>
      <c r="F47" s="5"/>
      <c r="G47" s="5"/>
      <c r="H47" s="5"/>
      <c r="I47" s="5"/>
      <c r="J47" s="5">
        <v>100</v>
      </c>
      <c r="K47" s="7">
        <v>1.1000000000000001</v>
      </c>
      <c r="L47" s="8">
        <f t="shared" si="3"/>
        <v>0.46900000000000003</v>
      </c>
      <c r="M47" s="12">
        <v>2.5000000000000001E-3</v>
      </c>
      <c r="N47" s="10">
        <f>+L47*M47</f>
        <v>1.1725000000000001E-3</v>
      </c>
      <c r="O47" s="179">
        <f t="shared" si="6"/>
        <v>1.0659090909090909E-3</v>
      </c>
      <c r="P47" s="169" t="s">
        <v>25</v>
      </c>
    </row>
    <row r="48" spans="1:16" ht="24.95" customHeight="1">
      <c r="A48" s="5" t="s">
        <v>8</v>
      </c>
      <c r="B48" s="5">
        <v>33</v>
      </c>
      <c r="C48" s="6" t="s">
        <v>84</v>
      </c>
      <c r="D48" s="5" t="s">
        <v>57</v>
      </c>
      <c r="E48" s="167">
        <v>58.36363636363636</v>
      </c>
      <c r="F48" s="5"/>
      <c r="G48" s="5"/>
      <c r="H48" s="5"/>
      <c r="I48" s="5"/>
      <c r="J48" s="5">
        <v>100</v>
      </c>
      <c r="K48" s="7">
        <v>1.1000000000000001</v>
      </c>
      <c r="L48" s="8">
        <f t="shared" si="3"/>
        <v>0.64200000000000002</v>
      </c>
      <c r="M48" s="12">
        <v>2.5000000000000001E-3</v>
      </c>
      <c r="N48" s="10">
        <f t="shared" si="7"/>
        <v>1.6050000000000001E-3</v>
      </c>
      <c r="O48" s="179">
        <f t="shared" si="6"/>
        <v>1.459090909090909E-3</v>
      </c>
      <c r="P48" s="169" t="s">
        <v>25</v>
      </c>
    </row>
    <row r="49" spans="1:16" ht="24.95" customHeight="1">
      <c r="A49" s="5" t="s">
        <v>8</v>
      </c>
      <c r="B49" s="5">
        <v>34</v>
      </c>
      <c r="C49" s="6" t="s">
        <v>85</v>
      </c>
      <c r="D49" s="5" t="s">
        <v>57</v>
      </c>
      <c r="E49" s="167">
        <v>44.727272727272727</v>
      </c>
      <c r="F49" s="5"/>
      <c r="G49" s="5"/>
      <c r="H49" s="5"/>
      <c r="I49" s="5"/>
      <c r="J49" s="5">
        <v>100</v>
      </c>
      <c r="K49" s="7">
        <v>1.1000000000000001</v>
      </c>
      <c r="L49" s="8">
        <f>(AVERAGEA(E49:I49)/100)*(J49/100)*(K49)</f>
        <v>0.49200000000000005</v>
      </c>
      <c r="M49" s="12">
        <v>2.5000000000000001E-3</v>
      </c>
      <c r="N49" s="179">
        <f t="shared" si="7"/>
        <v>1.2300000000000002E-3</v>
      </c>
      <c r="O49" s="179">
        <f t="shared" si="6"/>
        <v>1.1181818181818183E-3</v>
      </c>
      <c r="P49" s="169" t="s">
        <v>25</v>
      </c>
    </row>
    <row r="50" spans="1:16" ht="24.95" customHeight="1">
      <c r="A50" s="5" t="s">
        <v>76</v>
      </c>
      <c r="B50" s="5">
        <v>36</v>
      </c>
      <c r="C50" s="6" t="s">
        <v>76</v>
      </c>
      <c r="D50" s="5" t="s">
        <v>45</v>
      </c>
      <c r="E50" s="167">
        <v>106</v>
      </c>
      <c r="F50" s="5"/>
      <c r="G50" s="5"/>
      <c r="H50" s="5"/>
      <c r="I50" s="5"/>
      <c r="J50" s="5">
        <v>100</v>
      </c>
      <c r="K50" s="7">
        <v>1</v>
      </c>
      <c r="L50" s="8">
        <v>1</v>
      </c>
      <c r="M50" s="9">
        <v>1</v>
      </c>
      <c r="N50" s="10">
        <f t="shared" si="7"/>
        <v>1</v>
      </c>
      <c r="O50" s="179">
        <f t="shared" ref="O50" si="8">+N50/K50</f>
        <v>1</v>
      </c>
      <c r="P50" s="169" t="s">
        <v>46</v>
      </c>
    </row>
    <row r="51" spans="1:16" ht="24.95" customHeight="1">
      <c r="A51" s="5" t="s">
        <v>58</v>
      </c>
      <c r="B51" s="5">
        <v>37</v>
      </c>
      <c r="C51" s="6" t="s">
        <v>86</v>
      </c>
      <c r="D51" s="5" t="s">
        <v>48</v>
      </c>
      <c r="E51" s="167">
        <v>0</v>
      </c>
      <c r="J51" s="234">
        <v>100</v>
      </c>
      <c r="K51" s="234">
        <v>1.1000000000000001</v>
      </c>
      <c r="L51" s="234">
        <v>10.230000000000002</v>
      </c>
      <c r="M51" s="235">
        <v>3.8461538461538462E-4</v>
      </c>
      <c r="N51" s="234">
        <v>1</v>
      </c>
      <c r="O51" s="234">
        <v>1</v>
      </c>
      <c r="P51" s="233" t="s">
        <v>26</v>
      </c>
    </row>
    <row r="52" spans="1:16" ht="24.95" customHeight="1">
      <c r="A52" s="5" t="s">
        <v>64</v>
      </c>
      <c r="B52" s="5">
        <v>38</v>
      </c>
      <c r="C52" s="6" t="s">
        <v>87</v>
      </c>
      <c r="D52" s="5" t="s">
        <v>48</v>
      </c>
      <c r="E52" s="167">
        <v>0</v>
      </c>
      <c r="J52" s="234">
        <v>100</v>
      </c>
      <c r="K52" s="234">
        <v>1.1000000000000001</v>
      </c>
      <c r="L52" s="234">
        <v>10.230000000000002</v>
      </c>
      <c r="M52" s="236">
        <v>1E-4</v>
      </c>
      <c r="N52" s="234">
        <v>1</v>
      </c>
      <c r="O52" s="234">
        <v>1</v>
      </c>
      <c r="P52" s="233" t="s">
        <v>26</v>
      </c>
    </row>
    <row r="53" spans="1:16" ht="24.95" customHeight="1"/>
    <row r="54" spans="1:16" ht="24.95" customHeight="1"/>
    <row r="55" spans="1:16" ht="24.95" customHeight="1"/>
    <row r="56" spans="1:16" ht="24.95" customHeight="1"/>
    <row r="57" spans="1:16" ht="24.95" customHeight="1"/>
    <row r="58" spans="1:16" ht="24.95" customHeight="1"/>
    <row r="59" spans="1:16" ht="24.95" customHeight="1"/>
    <row r="60" spans="1:16" ht="24.95" customHeight="1"/>
    <row r="61" spans="1:16" ht="24.95" customHeight="1"/>
    <row r="62" spans="1:16" ht="24.95" customHeight="1"/>
    <row r="63" spans="1:16" ht="24.95" customHeight="1"/>
    <row r="64" spans="1:16"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row r="75" ht="24.95" customHeight="1"/>
    <row r="76" ht="24.95" customHeight="1"/>
    <row r="77" ht="24.95" customHeight="1"/>
    <row r="78" ht="24.95" customHeight="1"/>
    <row r="79" ht="24.95" customHeight="1"/>
    <row r="80" ht="24.95" customHeight="1"/>
    <row r="81" ht="24.95" customHeight="1"/>
    <row r="82" ht="24.95" customHeight="1"/>
    <row r="83" ht="24.95" customHeight="1"/>
    <row r="84" ht="24.95" customHeight="1"/>
    <row r="85" ht="24.95" customHeight="1"/>
    <row r="86" ht="24.95" customHeight="1"/>
    <row r="87" ht="24.95" customHeight="1"/>
    <row r="88" ht="24.95" customHeight="1"/>
    <row r="89" ht="24.95" customHeight="1"/>
    <row r="90" ht="24.95" customHeight="1"/>
    <row r="91" ht="24.95" customHeight="1"/>
    <row r="92" ht="24.95" customHeight="1"/>
    <row r="93" ht="24.95" customHeight="1"/>
    <row r="94" ht="24.95" customHeight="1"/>
    <row r="95" ht="24.95" customHeight="1"/>
    <row r="96" ht="24.95" customHeight="1"/>
    <row r="97" ht="24.95" customHeight="1"/>
    <row r="98" ht="24.95" customHeight="1"/>
    <row r="99" ht="24.95" customHeight="1"/>
    <row r="100" ht="24.95" customHeight="1"/>
    <row r="101" ht="24.95" customHeight="1"/>
    <row r="102" ht="24.95" customHeight="1"/>
    <row r="103" ht="24.95" customHeight="1"/>
    <row r="104" ht="24.95" customHeight="1"/>
    <row r="105" ht="24.95" customHeight="1"/>
    <row r="106" ht="24.95" customHeight="1"/>
    <row r="107" ht="24.95" customHeight="1"/>
    <row r="108" ht="24.95" customHeight="1"/>
    <row r="109" ht="24.95" customHeight="1"/>
    <row r="110" ht="24.95" customHeight="1"/>
    <row r="111" ht="24.95" customHeight="1"/>
    <row r="112" ht="24.95" customHeight="1"/>
    <row r="113" ht="24.95" customHeight="1"/>
    <row r="114" ht="24.95" customHeight="1"/>
    <row r="115" ht="24.95" customHeight="1"/>
    <row r="116" ht="24.95" customHeight="1"/>
    <row r="117" ht="24.95" customHeight="1"/>
    <row r="118" ht="24.95" customHeight="1"/>
    <row r="119" ht="24.95" customHeight="1"/>
    <row r="120" ht="24.95" customHeight="1"/>
    <row r="121" ht="24.95" customHeight="1"/>
    <row r="122" ht="24.95" customHeight="1"/>
    <row r="123" ht="24.95" customHeight="1"/>
    <row r="124" ht="24.95" customHeight="1"/>
    <row r="125" ht="24.95" customHeight="1"/>
    <row r="126" ht="24.95" customHeight="1"/>
    <row r="127" ht="24.95" customHeight="1"/>
    <row r="128" ht="24.95" customHeight="1"/>
    <row r="129" ht="24.95" customHeight="1"/>
    <row r="130" ht="24.95" customHeight="1"/>
    <row r="131" ht="24.95" customHeight="1"/>
    <row r="132" ht="24.95" customHeight="1"/>
    <row r="133" ht="24.95" customHeight="1"/>
    <row r="134" ht="24.95" customHeight="1"/>
    <row r="135" ht="24.95" customHeight="1"/>
    <row r="136" ht="24.95" customHeight="1"/>
  </sheetData>
  <autoFilter ref="A15:O50" xr:uid="{B1F553B3-2B86-4182-9F51-539D63C53CDE}"/>
  <mergeCells count="14">
    <mergeCell ref="P2:P3"/>
    <mergeCell ref="C2:C4"/>
    <mergeCell ref="D2:E2"/>
    <mergeCell ref="D3:E3"/>
    <mergeCell ref="D4:E4"/>
    <mergeCell ref="G2:H2"/>
    <mergeCell ref="G3:H3"/>
    <mergeCell ref="G4:H4"/>
    <mergeCell ref="J3:K3"/>
    <mergeCell ref="J4:K4"/>
    <mergeCell ref="M2:N2"/>
    <mergeCell ref="M3:N3"/>
    <mergeCell ref="M4:N4"/>
    <mergeCell ref="J2:K2"/>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AE4CE-0EA8-4580-A68D-758FE058FA2E}">
  <dimension ref="A1:P144"/>
  <sheetViews>
    <sheetView zoomScale="85" zoomScaleNormal="85" workbookViewId="0">
      <selection activeCell="A56" sqref="A55:XFD56"/>
    </sheetView>
  </sheetViews>
  <sheetFormatPr defaultColWidth="11.42578125" defaultRowHeight="15"/>
  <cols>
    <col min="1" max="1" width="12.710937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3.28515625" customWidth="1"/>
    <col min="16" max="16" width="18.7109375" bestFit="1" customWidth="1"/>
  </cols>
  <sheetData>
    <row r="1" spans="1:16" ht="24.95" customHeight="1" thickBot="1"/>
    <row r="2" spans="1:16" ht="24.95" customHeight="1" thickTop="1" thickBot="1">
      <c r="A2" s="123" t="s">
        <v>0</v>
      </c>
      <c r="B2" s="124" t="s">
        <v>88</v>
      </c>
      <c r="C2" s="242" t="s">
        <v>2</v>
      </c>
      <c r="D2" s="239" t="s">
        <v>3</v>
      </c>
      <c r="E2" s="240"/>
      <c r="F2" s="125">
        <f>SUMIF(D16:D110,"D",N16:N110)</f>
        <v>2.0194901000000001</v>
      </c>
      <c r="G2" s="239" t="s">
        <v>4</v>
      </c>
      <c r="H2" s="240"/>
      <c r="I2" s="180">
        <f>SUMIF(D16:D110,"D",O16:O110)/1.3</f>
        <v>1.552041346153846</v>
      </c>
      <c r="J2" s="241" t="s">
        <v>5</v>
      </c>
      <c r="K2" s="240"/>
      <c r="L2" s="125">
        <f>480/I4</f>
        <v>188.08472704543084</v>
      </c>
      <c r="M2" s="239" t="s">
        <v>6</v>
      </c>
      <c r="N2" s="240"/>
      <c r="O2" s="126">
        <f>((F2+F3)/1.3-(I2+I3))*MIN(L2:L3)</f>
        <v>2.2303082645145076</v>
      </c>
      <c r="P2" s="237" t="s">
        <v>7</v>
      </c>
    </row>
    <row r="3" spans="1:16" ht="24.95" customHeight="1" thickTop="1" thickBot="1">
      <c r="A3" s="123" t="s">
        <v>8</v>
      </c>
      <c r="B3" s="124" t="s">
        <v>89</v>
      </c>
      <c r="C3" s="243"/>
      <c r="D3" s="245" t="s">
        <v>10</v>
      </c>
      <c r="E3" s="246"/>
      <c r="F3" s="127">
        <f>SUMIF(D16:D110,"R",N16:N110)</f>
        <v>0.1341045173992674</v>
      </c>
      <c r="G3" s="245" t="s">
        <v>11</v>
      </c>
      <c r="H3" s="246"/>
      <c r="I3" s="181">
        <f>SUMIF(D16:D110,"R",O16:O110)/1.3</f>
        <v>9.2711900279207948E-2</v>
      </c>
      <c r="J3" s="247" t="s">
        <v>12</v>
      </c>
      <c r="K3" s="246"/>
      <c r="L3" s="127">
        <f>480/(F2/1.3+F3/1.3)/1.06</f>
        <v>273.34728668384309</v>
      </c>
      <c r="M3" s="245" t="s">
        <v>13</v>
      </c>
      <c r="N3" s="246"/>
      <c r="O3" s="128">
        <f>IF((480-L4)&lt;O2,L3,L2)</f>
        <v>188.08472704543084</v>
      </c>
      <c r="P3" s="238"/>
    </row>
    <row r="4" spans="1:16" ht="24.95" customHeight="1" thickTop="1" thickBot="1">
      <c r="A4" s="123" t="s">
        <v>14</v>
      </c>
      <c r="B4" s="170">
        <f>SUMIF(D16:D91,"MC",N16:N91)</f>
        <v>1</v>
      </c>
      <c r="C4" s="244"/>
      <c r="D4" s="239" t="s">
        <v>15</v>
      </c>
      <c r="E4" s="240"/>
      <c r="F4" s="125">
        <f>IF(1.1*(B4*1.08-F3/1.3)&lt;0,0,1.1*(B4*1.08-F3/1.3))</f>
        <v>1.0745269468160046</v>
      </c>
      <c r="G4" s="239" t="s">
        <v>16</v>
      </c>
      <c r="H4" s="240"/>
      <c r="I4" s="126">
        <f>IF(F4=0,(F2/1.3+F3/1.3)*1.06,B4+I2)</f>
        <v>2.552041346153846</v>
      </c>
      <c r="J4" s="241" t="s">
        <v>17</v>
      </c>
      <c r="K4" s="240"/>
      <c r="L4" s="125">
        <f>(I2+I3)*MIN(L2:L3)*1.06</f>
        <v>327.9141433371941</v>
      </c>
      <c r="M4" s="239" t="s">
        <v>18</v>
      </c>
      <c r="N4" s="240"/>
      <c r="O4" s="129">
        <f>8*1.397*100/O3</f>
        <v>5.9420029342948713</v>
      </c>
      <c r="P4" s="196">
        <v>49</v>
      </c>
    </row>
    <row r="5" spans="1:16" ht="0.2" customHeight="1" thickTop="1">
      <c r="A5" s="197"/>
      <c r="B5" s="210"/>
      <c r="C5" s="198"/>
      <c r="D5" s="199"/>
      <c r="E5" s="199"/>
      <c r="F5" s="200"/>
      <c r="G5" s="199"/>
      <c r="H5" s="199"/>
      <c r="I5" s="200"/>
      <c r="J5" s="199"/>
      <c r="K5" s="199"/>
      <c r="L5" s="200"/>
      <c r="M5" s="199"/>
      <c r="N5" s="199"/>
      <c r="O5" s="201"/>
    </row>
    <row r="6" spans="1:16" ht="0.2" customHeight="1">
      <c r="A6" s="197"/>
      <c r="B6" s="210"/>
      <c r="C6" s="203" t="s">
        <v>19</v>
      </c>
      <c r="D6" s="207">
        <f>SUMIFS($O$15:$O$98,$P$15:$P$98,C6)</f>
        <v>0</v>
      </c>
      <c r="E6" s="204">
        <f>+D6*$O$3</f>
        <v>0</v>
      </c>
      <c r="F6" s="200"/>
      <c r="G6" s="199"/>
      <c r="H6" s="199"/>
      <c r="I6" s="200"/>
      <c r="J6" s="199"/>
      <c r="K6" s="199"/>
      <c r="L6" s="200"/>
      <c r="M6" s="199"/>
      <c r="N6" s="199"/>
      <c r="O6" s="201"/>
    </row>
    <row r="7" spans="1:16" ht="0.2" customHeight="1">
      <c r="A7" s="197"/>
      <c r="B7" s="210"/>
      <c r="C7" s="187" t="s">
        <v>20</v>
      </c>
      <c r="D7" s="208">
        <f>SUMIFS($O$15:$O$98,$P$15:$P$98,C7)</f>
        <v>1.6775757575757576E-2</v>
      </c>
      <c r="E7" s="205">
        <f t="shared" ref="E7:E13" si="0">+D7*$O$3</f>
        <v>3.155263784616682</v>
      </c>
      <c r="F7" s="200"/>
      <c r="G7" s="199"/>
      <c r="H7" s="199"/>
      <c r="I7" s="200"/>
      <c r="J7" s="199"/>
      <c r="K7" s="199"/>
      <c r="L7" s="200"/>
      <c r="M7" s="199"/>
      <c r="N7" s="199"/>
      <c r="O7" s="201"/>
    </row>
    <row r="8" spans="1:16" ht="0.2" customHeight="1">
      <c r="A8" s="197"/>
      <c r="B8" s="210"/>
      <c r="C8" s="187" t="s">
        <v>21</v>
      </c>
      <c r="D8" s="208">
        <f>SUMIFS($O$15:$O$98,$P$15:$P$98,C8)</f>
        <v>8.8045454545454538E-3</v>
      </c>
      <c r="E8" s="205">
        <f t="shared" si="0"/>
        <v>1.6560005285772705</v>
      </c>
      <c r="F8" s="200"/>
      <c r="G8" s="199"/>
      <c r="H8" s="199"/>
      <c r="I8" s="200"/>
      <c r="J8" s="199"/>
      <c r="K8" s="199"/>
      <c r="L8" s="200"/>
      <c r="M8" s="199"/>
      <c r="N8" s="199"/>
      <c r="O8" s="201"/>
    </row>
    <row r="9" spans="1:16" ht="0.2" customHeight="1">
      <c r="A9" s="197"/>
      <c r="B9" s="210"/>
      <c r="C9" s="187" t="s">
        <v>22</v>
      </c>
      <c r="D9" s="208">
        <f>SUMIFS($O$15:$O$98,$P$15:$P$98,C9)</f>
        <v>7.1400000000000005E-2</v>
      </c>
      <c r="E9" s="205">
        <f t="shared" si="0"/>
        <v>13.429249511043762</v>
      </c>
      <c r="F9" s="200"/>
      <c r="G9" s="199"/>
      <c r="H9" s="199"/>
      <c r="I9" s="200"/>
      <c r="J9" s="199"/>
      <c r="K9" s="199"/>
      <c r="L9" s="200"/>
      <c r="M9" s="199"/>
      <c r="N9" s="199"/>
      <c r="O9" s="201"/>
    </row>
    <row r="10" spans="1:16" ht="0.2" customHeight="1">
      <c r="A10" s="197"/>
      <c r="B10" s="210"/>
      <c r="C10" s="187" t="s">
        <v>23</v>
      </c>
      <c r="D10" s="208">
        <f>SUMIFS($O$15:$O$98,$P$15:$P$98,C10)</f>
        <v>3.5487499999999998E-3</v>
      </c>
      <c r="E10" s="205">
        <f>+D10*$O$3</f>
        <v>0.66746567510247268</v>
      </c>
      <c r="F10" s="200"/>
      <c r="G10" s="199"/>
      <c r="H10" s="199"/>
      <c r="I10" s="200"/>
      <c r="J10" s="199"/>
      <c r="K10" s="199"/>
      <c r="L10" s="200"/>
      <c r="M10" s="199"/>
      <c r="N10" s="199"/>
      <c r="O10" s="201"/>
    </row>
    <row r="11" spans="1:16" ht="0.2" customHeight="1">
      <c r="A11" s="197"/>
      <c r="B11" s="210"/>
      <c r="C11" s="187" t="s">
        <v>24</v>
      </c>
      <c r="D11" s="208">
        <f>SUMIFS($O$15:$O$98,$P$15:$P$98,C11)</f>
        <v>1.7701985514485513E-2</v>
      </c>
      <c r="E11" s="205">
        <f t="shared" si="0"/>
        <v>3.3294731136541782</v>
      </c>
      <c r="F11" s="200"/>
      <c r="G11" s="199"/>
      <c r="H11" s="199"/>
      <c r="I11" s="200"/>
      <c r="J11" s="199"/>
      <c r="K11" s="199"/>
      <c r="L11" s="200"/>
      <c r="M11" s="199"/>
      <c r="N11" s="199"/>
      <c r="O11" s="201"/>
    </row>
    <row r="12" spans="1:16" ht="0.2" customHeight="1">
      <c r="A12" s="197"/>
      <c r="B12" s="210"/>
      <c r="C12" s="187" t="s">
        <v>25</v>
      </c>
      <c r="D12" s="208">
        <f>SUMIFS($O$15:$O$98,$P$15:$P$98,C12)</f>
        <v>5.8431818181818185E-3</v>
      </c>
      <c r="E12" s="205">
        <f t="shared" si="0"/>
        <v>1.0990132573495517</v>
      </c>
      <c r="F12" s="200"/>
      <c r="G12" s="199"/>
      <c r="H12" s="199"/>
      <c r="I12" s="200"/>
      <c r="J12" s="199"/>
      <c r="K12" s="199"/>
      <c r="L12" s="200"/>
      <c r="M12" s="199"/>
      <c r="N12" s="199"/>
      <c r="O12" s="201"/>
    </row>
    <row r="13" spans="1:16" ht="0.2" customHeight="1" thickBot="1">
      <c r="A13" s="197"/>
      <c r="B13" s="210"/>
      <c r="C13" s="189" t="s">
        <v>26</v>
      </c>
      <c r="D13" s="209">
        <f>SUMIFS($O$15:$O$98,$P$15:$P$98,C13)</f>
        <v>2.0141049999999998</v>
      </c>
      <c r="E13" s="206">
        <f t="shared" si="0"/>
        <v>378.82238916583742</v>
      </c>
      <c r="F13" s="200"/>
      <c r="G13" s="199"/>
      <c r="H13" s="199"/>
      <c r="I13" s="200"/>
      <c r="J13" s="199"/>
      <c r="K13" s="199"/>
      <c r="L13" s="200"/>
      <c r="M13" s="199"/>
      <c r="N13" s="199"/>
      <c r="O13" s="201"/>
    </row>
    <row r="14" spans="1:16" ht="24.95" customHeight="1" thickTop="1"/>
    <row r="15" spans="1:16" ht="24.95" customHeight="1">
      <c r="A15" s="1" t="s">
        <v>27</v>
      </c>
      <c r="B15" s="1" t="s">
        <v>28</v>
      </c>
      <c r="C15" s="1" t="s">
        <v>29</v>
      </c>
      <c r="D15" s="2" t="s">
        <v>30</v>
      </c>
      <c r="E15" s="2" t="s">
        <v>31</v>
      </c>
      <c r="F15" s="2" t="s">
        <v>32</v>
      </c>
      <c r="G15" s="2" t="s">
        <v>33</v>
      </c>
      <c r="H15" s="2" t="s">
        <v>34</v>
      </c>
      <c r="I15" s="2" t="s">
        <v>35</v>
      </c>
      <c r="J15" s="2" t="s">
        <v>36</v>
      </c>
      <c r="K15" s="3" t="s">
        <v>37</v>
      </c>
      <c r="L15" s="4" t="s">
        <v>38</v>
      </c>
      <c r="M15" s="2" t="s">
        <v>39</v>
      </c>
      <c r="N15" s="4" t="s">
        <v>40</v>
      </c>
      <c r="O15" s="4" t="s">
        <v>41</v>
      </c>
      <c r="P15" s="2" t="s">
        <v>42</v>
      </c>
    </row>
    <row r="16" spans="1:16" ht="24.95" customHeight="1">
      <c r="A16" s="5" t="s">
        <v>43</v>
      </c>
      <c r="B16" s="5">
        <v>1</v>
      </c>
      <c r="C16" s="6" t="s">
        <v>44</v>
      </c>
      <c r="D16" s="5" t="s">
        <v>45</v>
      </c>
      <c r="E16" s="5">
        <v>64</v>
      </c>
      <c r="F16" s="5"/>
      <c r="G16" s="5"/>
      <c r="H16" s="5"/>
      <c r="I16" s="5"/>
      <c r="J16" s="5">
        <v>100</v>
      </c>
      <c r="K16" s="7">
        <v>1</v>
      </c>
      <c r="L16" s="8">
        <f t="shared" ref="L16:L53" si="1">(AVERAGEA(E16:I16)/100)*(J16/100)*(K16)</f>
        <v>0.64</v>
      </c>
      <c r="M16" s="9">
        <v>1</v>
      </c>
      <c r="N16" s="10">
        <f t="shared" ref="N16:N53" si="2">+L16*M16</f>
        <v>0.64</v>
      </c>
      <c r="O16" s="10">
        <f>+N16/K16</f>
        <v>0.64</v>
      </c>
      <c r="P16" t="s">
        <v>46</v>
      </c>
    </row>
    <row r="17" spans="1:16" ht="24.95" customHeight="1">
      <c r="A17" s="5" t="s">
        <v>43</v>
      </c>
      <c r="B17" s="5">
        <v>2</v>
      </c>
      <c r="C17" s="6" t="s">
        <v>90</v>
      </c>
      <c r="D17" s="5" t="s">
        <v>57</v>
      </c>
      <c r="E17" s="167">
        <v>15.090909090909092</v>
      </c>
      <c r="F17" s="5"/>
      <c r="G17" s="5"/>
      <c r="H17" s="5"/>
      <c r="I17" s="5"/>
      <c r="J17" s="5">
        <v>100</v>
      </c>
      <c r="K17" s="7">
        <v>1.1000000000000001</v>
      </c>
      <c r="L17" s="8">
        <f t="shared" si="1"/>
        <v>0.16600000000000001</v>
      </c>
      <c r="M17" s="11">
        <v>1.6666666666666666E-2</v>
      </c>
      <c r="N17" s="10">
        <f t="shared" si="2"/>
        <v>2.7666666666666668E-3</v>
      </c>
      <c r="O17" s="10">
        <f t="shared" ref="O17:O53" si="3">+N17/K17</f>
        <v>2.515151515151515E-3</v>
      </c>
      <c r="P17" t="s">
        <v>20</v>
      </c>
    </row>
    <row r="18" spans="1:16" ht="24.95" customHeight="1">
      <c r="A18" s="5" t="s">
        <v>43</v>
      </c>
      <c r="B18" s="5">
        <v>3</v>
      </c>
      <c r="C18" s="6" t="s">
        <v>60</v>
      </c>
      <c r="D18" s="5" t="s">
        <v>57</v>
      </c>
      <c r="E18" s="5">
        <v>13</v>
      </c>
      <c r="F18" s="5">
        <v>15</v>
      </c>
      <c r="G18" s="5">
        <v>17</v>
      </c>
      <c r="H18" s="5">
        <v>17</v>
      </c>
      <c r="I18" s="5">
        <v>18</v>
      </c>
      <c r="J18" s="5">
        <v>105</v>
      </c>
      <c r="K18" s="7">
        <v>1.1000000000000001</v>
      </c>
      <c r="L18" s="8">
        <f t="shared" si="1"/>
        <v>0.18480000000000002</v>
      </c>
      <c r="M18" s="12">
        <v>2.5000000000000001E-3</v>
      </c>
      <c r="N18" s="10">
        <f t="shared" si="2"/>
        <v>4.6200000000000006E-4</v>
      </c>
      <c r="O18" s="10">
        <f t="shared" si="3"/>
        <v>4.2000000000000002E-4</v>
      </c>
      <c r="P18" t="s">
        <v>21</v>
      </c>
    </row>
    <row r="19" spans="1:16" ht="24.95" customHeight="1">
      <c r="A19" s="5" t="s">
        <v>43</v>
      </c>
      <c r="B19" s="5">
        <v>4</v>
      </c>
      <c r="C19" s="6" t="s">
        <v>91</v>
      </c>
      <c r="D19" s="5" t="s">
        <v>57</v>
      </c>
      <c r="E19" s="167">
        <v>11.545454545454543</v>
      </c>
      <c r="F19" s="5"/>
      <c r="G19" s="5"/>
      <c r="H19" s="5"/>
      <c r="I19" s="5"/>
      <c r="J19" s="5">
        <v>100</v>
      </c>
      <c r="K19" s="7">
        <v>1.1000000000000001</v>
      </c>
      <c r="L19" s="8">
        <f t="shared" si="1"/>
        <v>0.127</v>
      </c>
      <c r="M19" s="12">
        <v>2.5000000000000001E-3</v>
      </c>
      <c r="N19" s="10">
        <f t="shared" si="2"/>
        <v>3.1750000000000002E-4</v>
      </c>
      <c r="O19" s="10">
        <f t="shared" si="3"/>
        <v>2.8863636363636363E-4</v>
      </c>
      <c r="P19" t="s">
        <v>21</v>
      </c>
    </row>
    <row r="20" spans="1:16" ht="24.95" customHeight="1">
      <c r="A20" s="5" t="s">
        <v>43</v>
      </c>
      <c r="B20" s="5">
        <v>5</v>
      </c>
      <c r="C20" s="6" t="s">
        <v>92</v>
      </c>
      <c r="D20" s="5" t="s">
        <v>57</v>
      </c>
      <c r="E20" s="5">
        <v>27</v>
      </c>
      <c r="F20" s="5">
        <v>27</v>
      </c>
      <c r="G20" s="5"/>
      <c r="H20" s="5"/>
      <c r="I20" s="5"/>
      <c r="J20" s="5">
        <v>100</v>
      </c>
      <c r="K20" s="7">
        <v>1.1200000000000001</v>
      </c>
      <c r="L20" s="8">
        <f t="shared" si="1"/>
        <v>0.30240000000000006</v>
      </c>
      <c r="M20" s="12">
        <v>2.5000000000000001E-3</v>
      </c>
      <c r="N20" s="10">
        <f t="shared" si="2"/>
        <v>7.5600000000000016E-4</v>
      </c>
      <c r="O20" s="10">
        <f t="shared" si="3"/>
        <v>6.7500000000000004E-4</v>
      </c>
      <c r="P20" t="s">
        <v>21</v>
      </c>
    </row>
    <row r="21" spans="1:16" ht="24.95" customHeight="1">
      <c r="A21" s="5" t="s">
        <v>43</v>
      </c>
      <c r="B21" s="5">
        <v>6</v>
      </c>
      <c r="C21" s="6" t="s">
        <v>93</v>
      </c>
      <c r="D21" s="5" t="s">
        <v>57</v>
      </c>
      <c r="E21" s="5">
        <v>25</v>
      </c>
      <c r="F21" s="5">
        <v>25</v>
      </c>
      <c r="G21" s="5"/>
      <c r="H21" s="5"/>
      <c r="I21" s="5"/>
      <c r="J21" s="5">
        <v>100</v>
      </c>
      <c r="K21" s="7">
        <v>1.1200000000000001</v>
      </c>
      <c r="L21" s="8">
        <f t="shared" si="1"/>
        <v>0.28000000000000003</v>
      </c>
      <c r="M21" s="12">
        <v>2.5000000000000001E-3</v>
      </c>
      <c r="N21" s="10">
        <f t="shared" si="2"/>
        <v>7.000000000000001E-4</v>
      </c>
      <c r="O21" s="10">
        <f t="shared" si="3"/>
        <v>6.2500000000000001E-4</v>
      </c>
      <c r="P21" t="s">
        <v>21</v>
      </c>
    </row>
    <row r="22" spans="1:16" ht="24.95" customHeight="1">
      <c r="A22" s="5" t="s">
        <v>43</v>
      </c>
      <c r="B22" s="5">
        <v>7</v>
      </c>
      <c r="C22" s="6" t="s">
        <v>94</v>
      </c>
      <c r="D22" s="5" t="s">
        <v>57</v>
      </c>
      <c r="E22" s="5">
        <v>27</v>
      </c>
      <c r="F22" s="5">
        <v>27</v>
      </c>
      <c r="G22" s="5"/>
      <c r="H22" s="5"/>
      <c r="I22" s="5"/>
      <c r="J22" s="5">
        <v>100</v>
      </c>
      <c r="K22" s="7">
        <v>1.1200000000000001</v>
      </c>
      <c r="L22" s="8">
        <f t="shared" si="1"/>
        <v>0.30240000000000006</v>
      </c>
      <c r="M22" s="12">
        <v>2.5000000000000001E-3</v>
      </c>
      <c r="N22" s="10">
        <f t="shared" si="2"/>
        <v>7.5600000000000016E-4</v>
      </c>
      <c r="O22" s="10">
        <f t="shared" si="3"/>
        <v>6.7500000000000004E-4</v>
      </c>
      <c r="P22" t="s">
        <v>21</v>
      </c>
    </row>
    <row r="23" spans="1:16" ht="24.95" customHeight="1">
      <c r="A23" s="5" t="s">
        <v>43</v>
      </c>
      <c r="B23" s="5">
        <v>8</v>
      </c>
      <c r="C23" s="6" t="s">
        <v>95</v>
      </c>
      <c r="D23" s="5" t="s">
        <v>57</v>
      </c>
      <c r="E23" s="5">
        <v>12</v>
      </c>
      <c r="F23" s="5">
        <v>18</v>
      </c>
      <c r="G23" s="5"/>
      <c r="H23" s="5"/>
      <c r="I23" s="5"/>
      <c r="J23" s="5">
        <v>100</v>
      </c>
      <c r="K23" s="7">
        <v>1.1200000000000001</v>
      </c>
      <c r="L23" s="8">
        <f t="shared" si="1"/>
        <v>0.16800000000000001</v>
      </c>
      <c r="M23" s="12">
        <v>2.5000000000000001E-3</v>
      </c>
      <c r="N23" s="10">
        <f t="shared" si="2"/>
        <v>4.2000000000000002E-4</v>
      </c>
      <c r="O23" s="10">
        <f t="shared" si="3"/>
        <v>3.7499999999999995E-4</v>
      </c>
      <c r="P23" t="s">
        <v>21</v>
      </c>
    </row>
    <row r="24" spans="1:16" ht="24.95" customHeight="1">
      <c r="A24" s="5" t="s">
        <v>43</v>
      </c>
      <c r="B24" s="5">
        <v>9</v>
      </c>
      <c r="C24" s="6" t="s">
        <v>96</v>
      </c>
      <c r="D24" s="5" t="s">
        <v>57</v>
      </c>
      <c r="E24" s="5">
        <v>12</v>
      </c>
      <c r="F24" s="5">
        <v>18</v>
      </c>
      <c r="G24" s="5"/>
      <c r="H24" s="5"/>
      <c r="I24" s="5"/>
      <c r="J24" s="5">
        <v>100</v>
      </c>
      <c r="K24" s="7">
        <v>1.1200000000000001</v>
      </c>
      <c r="L24" s="8">
        <f t="shared" si="1"/>
        <v>0.16800000000000001</v>
      </c>
      <c r="M24" s="12">
        <v>2.5000000000000001E-3</v>
      </c>
      <c r="N24" s="10">
        <f t="shared" si="2"/>
        <v>4.2000000000000002E-4</v>
      </c>
      <c r="O24" s="10">
        <f t="shared" si="3"/>
        <v>3.7499999999999995E-4</v>
      </c>
      <c r="P24" t="s">
        <v>21</v>
      </c>
    </row>
    <row r="25" spans="1:16" ht="24.95" customHeight="1">
      <c r="A25" s="5" t="s">
        <v>58</v>
      </c>
      <c r="B25" s="5">
        <v>10</v>
      </c>
      <c r="C25" s="6" t="s">
        <v>59</v>
      </c>
      <c r="D25" s="5" t="s">
        <v>45</v>
      </c>
      <c r="E25" s="5">
        <v>80</v>
      </c>
      <c r="F25" s="5"/>
      <c r="G25" s="5"/>
      <c r="H25" s="5"/>
      <c r="I25" s="5"/>
      <c r="J25" s="5">
        <v>100</v>
      </c>
      <c r="K25" s="7">
        <v>1</v>
      </c>
      <c r="L25" s="8">
        <f t="shared" si="1"/>
        <v>0.8</v>
      </c>
      <c r="M25" s="9">
        <v>1</v>
      </c>
      <c r="N25" s="10">
        <f t="shared" si="2"/>
        <v>0.8</v>
      </c>
      <c r="O25" s="10">
        <f t="shared" si="3"/>
        <v>0.8</v>
      </c>
      <c r="P25" t="s">
        <v>46</v>
      </c>
    </row>
    <row r="26" spans="1:16" ht="24.95" customHeight="1">
      <c r="A26" s="5" t="s">
        <v>58</v>
      </c>
      <c r="B26" s="5">
        <v>11</v>
      </c>
      <c r="C26" s="6" t="s">
        <v>60</v>
      </c>
      <c r="D26" s="5" t="s">
        <v>57</v>
      </c>
      <c r="E26" s="5">
        <v>13</v>
      </c>
      <c r="F26" s="5">
        <v>15</v>
      </c>
      <c r="G26" s="5">
        <v>17</v>
      </c>
      <c r="H26" s="5">
        <v>17</v>
      </c>
      <c r="I26" s="5">
        <v>18</v>
      </c>
      <c r="J26" s="5">
        <v>105</v>
      </c>
      <c r="K26" s="7">
        <v>1.1000000000000001</v>
      </c>
      <c r="L26" s="8">
        <f t="shared" si="1"/>
        <v>0.18480000000000002</v>
      </c>
      <c r="M26" s="12">
        <v>5.0000000000000001E-3</v>
      </c>
      <c r="N26" s="10">
        <f t="shared" si="2"/>
        <v>9.2400000000000013E-4</v>
      </c>
      <c r="O26" s="10">
        <f t="shared" si="3"/>
        <v>8.4000000000000003E-4</v>
      </c>
      <c r="P26" t="s">
        <v>21</v>
      </c>
    </row>
    <row r="27" spans="1:16" ht="24.95" customHeight="1">
      <c r="A27" s="5" t="s">
        <v>58</v>
      </c>
      <c r="B27" s="5">
        <v>12</v>
      </c>
      <c r="C27" s="6" t="s">
        <v>97</v>
      </c>
      <c r="D27" s="5" t="s">
        <v>57</v>
      </c>
      <c r="E27" s="167">
        <v>16.90909090909091</v>
      </c>
      <c r="F27" s="5"/>
      <c r="G27" s="5"/>
      <c r="H27" s="5"/>
      <c r="I27" s="5"/>
      <c r="J27" s="5">
        <v>100</v>
      </c>
      <c r="K27" s="7">
        <v>1.1000000000000001</v>
      </c>
      <c r="L27" s="8">
        <f t="shared" si="1"/>
        <v>0.18600000000000003</v>
      </c>
      <c r="M27" s="12">
        <v>5.0000000000000001E-3</v>
      </c>
      <c r="N27" s="10">
        <f t="shared" si="2"/>
        <v>9.3000000000000016E-4</v>
      </c>
      <c r="O27" s="10">
        <f t="shared" si="3"/>
        <v>8.454545454545455E-4</v>
      </c>
      <c r="P27" t="s">
        <v>21</v>
      </c>
    </row>
    <row r="28" spans="1:16" ht="24.95" customHeight="1">
      <c r="A28" s="5" t="s">
        <v>98</v>
      </c>
      <c r="B28" s="5">
        <v>13</v>
      </c>
      <c r="C28" s="6" t="s">
        <v>99</v>
      </c>
      <c r="D28" s="5" t="s">
        <v>45</v>
      </c>
      <c r="E28" s="5">
        <v>5</v>
      </c>
      <c r="F28" s="5"/>
      <c r="G28" s="5"/>
      <c r="H28" s="5"/>
      <c r="I28" s="5"/>
      <c r="J28" s="5">
        <v>100</v>
      </c>
      <c r="K28" s="7">
        <v>1</v>
      </c>
      <c r="L28" s="8">
        <f t="shared" si="1"/>
        <v>0.05</v>
      </c>
      <c r="M28" s="9">
        <v>1</v>
      </c>
      <c r="N28" s="10">
        <f t="shared" si="2"/>
        <v>0.05</v>
      </c>
      <c r="O28" s="10">
        <f t="shared" si="3"/>
        <v>0.05</v>
      </c>
      <c r="P28" t="s">
        <v>46</v>
      </c>
    </row>
    <row r="29" spans="1:16" ht="24.95" customHeight="1">
      <c r="A29" s="5" t="s">
        <v>64</v>
      </c>
      <c r="B29" s="5">
        <v>14</v>
      </c>
      <c r="C29" s="6" t="s">
        <v>65</v>
      </c>
      <c r="D29" s="5" t="s">
        <v>14</v>
      </c>
      <c r="E29" s="5">
        <v>100</v>
      </c>
      <c r="F29" s="5"/>
      <c r="G29" s="5"/>
      <c r="H29" s="5"/>
      <c r="I29" s="5"/>
      <c r="J29" s="5">
        <v>100</v>
      </c>
      <c r="K29" s="7">
        <v>1</v>
      </c>
      <c r="L29" s="8">
        <f t="shared" si="1"/>
        <v>1</v>
      </c>
      <c r="M29" s="9">
        <v>1</v>
      </c>
      <c r="N29" s="10">
        <f t="shared" si="2"/>
        <v>1</v>
      </c>
      <c r="O29" s="10">
        <f t="shared" si="3"/>
        <v>1</v>
      </c>
      <c r="P29" t="s">
        <v>46</v>
      </c>
    </row>
    <row r="30" spans="1:16" ht="24.95" customHeight="1">
      <c r="A30" s="5" t="s">
        <v>64</v>
      </c>
      <c r="B30" s="5">
        <v>15</v>
      </c>
      <c r="C30" s="6" t="s">
        <v>60</v>
      </c>
      <c r="D30" s="5" t="s">
        <v>57</v>
      </c>
      <c r="E30" s="5">
        <v>13</v>
      </c>
      <c r="F30" s="5">
        <v>15</v>
      </c>
      <c r="G30" s="5">
        <v>17</v>
      </c>
      <c r="H30" s="5">
        <v>17</v>
      </c>
      <c r="I30" s="5">
        <v>18</v>
      </c>
      <c r="J30" s="5">
        <v>105</v>
      </c>
      <c r="K30" s="7">
        <v>1.1000000000000001</v>
      </c>
      <c r="L30" s="8">
        <f t="shared" si="1"/>
        <v>0.18480000000000002</v>
      </c>
      <c r="M30" s="12">
        <v>5.0000000000000001E-3</v>
      </c>
      <c r="N30" s="10">
        <f t="shared" si="2"/>
        <v>9.2400000000000013E-4</v>
      </c>
      <c r="O30" s="10">
        <f t="shared" si="3"/>
        <v>8.4000000000000003E-4</v>
      </c>
      <c r="P30" t="s">
        <v>21</v>
      </c>
    </row>
    <row r="31" spans="1:16" ht="24.95" customHeight="1">
      <c r="A31" s="5" t="s">
        <v>64</v>
      </c>
      <c r="B31" s="5">
        <v>16</v>
      </c>
      <c r="C31" s="6" t="s">
        <v>100</v>
      </c>
      <c r="D31" s="5" t="s">
        <v>57</v>
      </c>
      <c r="E31" s="167">
        <v>16.90909090909091</v>
      </c>
      <c r="F31" s="5"/>
      <c r="G31" s="5"/>
      <c r="H31" s="5"/>
      <c r="I31" s="5"/>
      <c r="J31" s="5">
        <v>100</v>
      </c>
      <c r="K31" s="7">
        <v>1.1000000000000001</v>
      </c>
      <c r="L31" s="8">
        <f t="shared" si="1"/>
        <v>0.18600000000000003</v>
      </c>
      <c r="M31" s="12">
        <v>5.0000000000000001E-3</v>
      </c>
      <c r="N31" s="10">
        <f t="shared" si="2"/>
        <v>9.3000000000000016E-4</v>
      </c>
      <c r="O31" s="10">
        <f t="shared" si="3"/>
        <v>8.454545454545455E-4</v>
      </c>
      <c r="P31" t="s">
        <v>21</v>
      </c>
    </row>
    <row r="32" spans="1:16" ht="24.95" customHeight="1">
      <c r="A32" s="5" t="s">
        <v>64</v>
      </c>
      <c r="B32" s="5">
        <v>17</v>
      </c>
      <c r="C32" s="6" t="s">
        <v>68</v>
      </c>
      <c r="D32" s="5" t="s">
        <v>57</v>
      </c>
      <c r="E32" s="5">
        <v>6</v>
      </c>
      <c r="F32" s="5"/>
      <c r="G32" s="5"/>
      <c r="H32" s="5"/>
      <c r="I32" s="5"/>
      <c r="J32" s="5">
        <v>100</v>
      </c>
      <c r="K32" s="7">
        <v>1.1000000000000001</v>
      </c>
      <c r="L32" s="8">
        <f t="shared" si="1"/>
        <v>6.6000000000000003E-2</v>
      </c>
      <c r="M32" s="12">
        <v>5.0000000000000001E-3</v>
      </c>
      <c r="N32" s="10">
        <f t="shared" si="2"/>
        <v>3.3E-4</v>
      </c>
      <c r="O32" s="10">
        <f t="shared" si="3"/>
        <v>2.9999999999999997E-4</v>
      </c>
      <c r="P32" t="s">
        <v>21</v>
      </c>
    </row>
    <row r="33" spans="1:16" ht="24.95" customHeight="1">
      <c r="A33" s="5" t="s">
        <v>64</v>
      </c>
      <c r="B33" s="5">
        <v>18</v>
      </c>
      <c r="C33" s="6" t="s">
        <v>101</v>
      </c>
      <c r="D33" s="5" t="s">
        <v>57</v>
      </c>
      <c r="E33" s="5">
        <v>6</v>
      </c>
      <c r="F33" s="5"/>
      <c r="G33" s="5"/>
      <c r="H33" s="5"/>
      <c r="I33" s="5"/>
      <c r="J33" s="5">
        <v>100</v>
      </c>
      <c r="K33" s="7">
        <v>1.1000000000000001</v>
      </c>
      <c r="L33" s="8">
        <f t="shared" si="1"/>
        <v>6.6000000000000003E-2</v>
      </c>
      <c r="M33" s="12">
        <v>5.0000000000000001E-3</v>
      </c>
      <c r="N33" s="8">
        <f t="shared" si="2"/>
        <v>3.3E-4</v>
      </c>
      <c r="O33" s="10">
        <f t="shared" si="3"/>
        <v>2.9999999999999997E-4</v>
      </c>
      <c r="P33" t="s">
        <v>21</v>
      </c>
    </row>
    <row r="34" spans="1:16" ht="24.95" customHeight="1">
      <c r="A34" s="5" t="s">
        <v>102</v>
      </c>
      <c r="B34" s="5">
        <v>19</v>
      </c>
      <c r="C34" s="6" t="s">
        <v>103</v>
      </c>
      <c r="D34" s="5" t="s">
        <v>45</v>
      </c>
      <c r="E34" s="5">
        <v>55</v>
      </c>
      <c r="F34" s="5"/>
      <c r="G34" s="5"/>
      <c r="H34" s="5"/>
      <c r="I34" s="5"/>
      <c r="J34" s="5">
        <v>100</v>
      </c>
      <c r="K34" s="7">
        <v>1</v>
      </c>
      <c r="L34" s="8">
        <f t="shared" si="1"/>
        <v>0.55000000000000004</v>
      </c>
      <c r="M34" s="9">
        <v>1</v>
      </c>
      <c r="N34" s="8">
        <f t="shared" si="2"/>
        <v>0.55000000000000004</v>
      </c>
      <c r="O34" s="10">
        <f t="shared" si="3"/>
        <v>0.55000000000000004</v>
      </c>
      <c r="P34" t="s">
        <v>46</v>
      </c>
    </row>
    <row r="35" spans="1:16" ht="24.95" customHeight="1">
      <c r="A35" s="5" t="s">
        <v>8</v>
      </c>
      <c r="B35" s="5">
        <v>20</v>
      </c>
      <c r="C35" s="6" t="s">
        <v>104</v>
      </c>
      <c r="D35" s="5" t="s">
        <v>57</v>
      </c>
      <c r="E35" s="5">
        <v>357</v>
      </c>
      <c r="F35" s="5"/>
      <c r="G35" s="5"/>
      <c r="H35" s="5"/>
      <c r="I35" s="5"/>
      <c r="J35" s="5">
        <v>120</v>
      </c>
      <c r="K35" s="7">
        <v>1.1200000000000001</v>
      </c>
      <c r="L35" s="8">
        <f t="shared" si="1"/>
        <v>4.7980800000000006</v>
      </c>
      <c r="M35" s="11">
        <v>1.6666666666666666E-2</v>
      </c>
      <c r="N35" s="8">
        <f t="shared" si="2"/>
        <v>7.9968000000000011E-2</v>
      </c>
      <c r="O35" s="10">
        <f t="shared" si="3"/>
        <v>7.1400000000000005E-2</v>
      </c>
      <c r="P35" t="s">
        <v>22</v>
      </c>
    </row>
    <row r="36" spans="1:16" ht="24.95" customHeight="1">
      <c r="A36" s="5" t="s">
        <v>102</v>
      </c>
      <c r="B36" s="5">
        <v>21</v>
      </c>
      <c r="C36" s="6" t="s">
        <v>105</v>
      </c>
      <c r="D36" s="5" t="s">
        <v>57</v>
      </c>
      <c r="E36" s="167">
        <v>15.090909090909092</v>
      </c>
      <c r="F36" s="5"/>
      <c r="G36" s="5"/>
      <c r="H36" s="5"/>
      <c r="I36" s="5"/>
      <c r="J36" s="5">
        <v>100</v>
      </c>
      <c r="K36" s="7">
        <v>1.1000000000000001</v>
      </c>
      <c r="L36" s="8">
        <f t="shared" si="1"/>
        <v>0.16600000000000001</v>
      </c>
      <c r="M36" s="11">
        <v>1.6666666666666666E-2</v>
      </c>
      <c r="N36" s="8">
        <f t="shared" si="2"/>
        <v>2.7666666666666668E-3</v>
      </c>
      <c r="O36" s="10">
        <f t="shared" si="3"/>
        <v>2.515151515151515E-3</v>
      </c>
      <c r="P36" t="s">
        <v>20</v>
      </c>
    </row>
    <row r="37" spans="1:16" ht="24.95" customHeight="1">
      <c r="A37" s="5" t="s">
        <v>71</v>
      </c>
      <c r="B37" s="5">
        <v>22</v>
      </c>
      <c r="C37" s="6" t="s">
        <v>72</v>
      </c>
      <c r="D37" s="5" t="s">
        <v>57</v>
      </c>
      <c r="E37" s="167">
        <v>29.363636363636367</v>
      </c>
      <c r="F37" s="5"/>
      <c r="G37" s="5"/>
      <c r="H37" s="5"/>
      <c r="I37" s="5"/>
      <c r="J37" s="5">
        <v>100</v>
      </c>
      <c r="K37" s="7">
        <v>1.1000000000000001</v>
      </c>
      <c r="L37" s="8">
        <f t="shared" si="1"/>
        <v>0.32300000000000006</v>
      </c>
      <c r="M37" s="11">
        <v>0.04</v>
      </c>
      <c r="N37" s="10">
        <f t="shared" si="2"/>
        <v>1.2920000000000003E-2</v>
      </c>
      <c r="O37" s="10">
        <f t="shared" si="3"/>
        <v>1.1745454545454547E-2</v>
      </c>
      <c r="P37" t="s">
        <v>20</v>
      </c>
    </row>
    <row r="38" spans="1:16" ht="24.95" customHeight="1">
      <c r="A38" s="5" t="s">
        <v>8</v>
      </c>
      <c r="B38" s="5">
        <v>23</v>
      </c>
      <c r="C38" s="6" t="s">
        <v>73</v>
      </c>
      <c r="D38" s="5" t="s">
        <v>48</v>
      </c>
      <c r="E38" s="5">
        <v>56</v>
      </c>
      <c r="F38" s="5">
        <v>63</v>
      </c>
      <c r="G38" s="5">
        <v>49</v>
      </c>
      <c r="H38" s="5"/>
      <c r="I38" s="5"/>
      <c r="J38" s="5">
        <v>120</v>
      </c>
      <c r="K38" s="7">
        <v>1.1200000000000001</v>
      </c>
      <c r="L38" s="8">
        <f t="shared" si="1"/>
        <v>0.75264000000000009</v>
      </c>
      <c r="M38" s="12">
        <v>2.5000000000000001E-3</v>
      </c>
      <c r="N38" s="10">
        <f t="shared" si="2"/>
        <v>1.8816000000000002E-3</v>
      </c>
      <c r="O38" s="10">
        <f t="shared" si="3"/>
        <v>1.6800000000000001E-3</v>
      </c>
      <c r="P38" t="s">
        <v>23</v>
      </c>
    </row>
    <row r="39" spans="1:16" ht="24.95" customHeight="1">
      <c r="A39" s="5" t="s">
        <v>8</v>
      </c>
      <c r="B39" s="5">
        <v>24</v>
      </c>
      <c r="C39" s="6" t="s">
        <v>74</v>
      </c>
      <c r="D39" s="5" t="s">
        <v>48</v>
      </c>
      <c r="E39" s="5">
        <v>65</v>
      </c>
      <c r="F39" s="5"/>
      <c r="G39" s="5"/>
      <c r="H39" s="5"/>
      <c r="I39" s="5"/>
      <c r="J39" s="5">
        <v>115</v>
      </c>
      <c r="K39" s="7">
        <v>1.1200000000000001</v>
      </c>
      <c r="L39" s="8">
        <f t="shared" si="1"/>
        <v>0.83720000000000006</v>
      </c>
      <c r="M39" s="12">
        <v>2.5000000000000001E-3</v>
      </c>
      <c r="N39" s="10">
        <f t="shared" si="2"/>
        <v>2.0930000000000002E-3</v>
      </c>
      <c r="O39" s="10">
        <f t="shared" si="3"/>
        <v>1.86875E-3</v>
      </c>
      <c r="P39" t="s">
        <v>23</v>
      </c>
    </row>
    <row r="40" spans="1:16" ht="24.95" customHeight="1">
      <c r="A40" s="5" t="s">
        <v>71</v>
      </c>
      <c r="B40" s="5">
        <v>25</v>
      </c>
      <c r="C40" s="6" t="s">
        <v>75</v>
      </c>
      <c r="D40" s="5" t="s">
        <v>57</v>
      </c>
      <c r="E40" s="5">
        <v>25</v>
      </c>
      <c r="F40" s="5">
        <v>25</v>
      </c>
      <c r="G40" s="5"/>
      <c r="H40" s="5"/>
      <c r="I40" s="5"/>
      <c r="J40" s="5">
        <v>80</v>
      </c>
      <c r="K40" s="7">
        <v>1.1000000000000001</v>
      </c>
      <c r="L40" s="8">
        <f t="shared" si="1"/>
        <v>0.22000000000000003</v>
      </c>
      <c r="M40" s="12">
        <v>2.6041666666666665E-3</v>
      </c>
      <c r="N40" s="10">
        <f t="shared" si="2"/>
        <v>5.7291666666666667E-4</v>
      </c>
      <c r="O40" s="10">
        <f t="shared" si="3"/>
        <v>5.2083333333333333E-4</v>
      </c>
      <c r="P40" t="s">
        <v>24</v>
      </c>
    </row>
    <row r="41" spans="1:16" ht="24.95" customHeight="1">
      <c r="A41" s="5" t="s">
        <v>76</v>
      </c>
      <c r="B41" s="5">
        <v>26</v>
      </c>
      <c r="C41" s="6" t="s">
        <v>106</v>
      </c>
      <c r="D41" s="5" t="s">
        <v>57</v>
      </c>
      <c r="E41" s="167">
        <v>516.18181818181813</v>
      </c>
      <c r="F41" s="5"/>
      <c r="G41" s="5"/>
      <c r="H41" s="5"/>
      <c r="I41" s="5"/>
      <c r="J41" s="5">
        <v>100</v>
      </c>
      <c r="K41" s="7">
        <v>1.1000000000000001</v>
      </c>
      <c r="L41" s="8">
        <f t="shared" si="1"/>
        <v>5.6779999999999999</v>
      </c>
      <c r="M41" s="12">
        <v>1.8315018315018315E-3</v>
      </c>
      <c r="N41" s="10">
        <f t="shared" si="2"/>
        <v>1.0399267399267399E-2</v>
      </c>
      <c r="O41" s="10">
        <f t="shared" si="3"/>
        <v>9.4538794538794532E-3</v>
      </c>
      <c r="P41" t="s">
        <v>24</v>
      </c>
    </row>
    <row r="42" spans="1:16" ht="24.95" customHeight="1">
      <c r="A42" s="5" t="s">
        <v>8</v>
      </c>
      <c r="B42" s="5">
        <v>27</v>
      </c>
      <c r="C42" s="6" t="s">
        <v>107</v>
      </c>
      <c r="D42" s="5" t="s">
        <v>57</v>
      </c>
      <c r="E42" s="167">
        <v>593.45454545454538</v>
      </c>
      <c r="F42" s="5"/>
      <c r="G42" s="5"/>
      <c r="H42" s="5"/>
      <c r="I42" s="5"/>
      <c r="J42" s="5">
        <v>100</v>
      </c>
      <c r="K42" s="7">
        <v>1.1000000000000001</v>
      </c>
      <c r="L42" s="8">
        <f t="shared" si="1"/>
        <v>6.5279999999999996</v>
      </c>
      <c r="M42" s="12">
        <v>1.3020833333333333E-3</v>
      </c>
      <c r="N42" s="10">
        <f t="shared" si="2"/>
        <v>8.4999999999999989E-3</v>
      </c>
      <c r="O42" s="10">
        <f t="shared" si="3"/>
        <v>7.7272727272727259E-3</v>
      </c>
      <c r="P42" t="s">
        <v>24</v>
      </c>
    </row>
    <row r="43" spans="1:16" ht="24.95" customHeight="1">
      <c r="A43" s="5" t="s">
        <v>71</v>
      </c>
      <c r="B43" s="5">
        <v>28</v>
      </c>
      <c r="C43" s="6" t="s">
        <v>80</v>
      </c>
      <c r="D43" s="5" t="s">
        <v>57</v>
      </c>
      <c r="E43" s="5">
        <v>3</v>
      </c>
      <c r="F43" s="5"/>
      <c r="G43" s="5"/>
      <c r="H43" s="5"/>
      <c r="I43" s="5"/>
      <c r="J43" s="5">
        <v>100</v>
      </c>
      <c r="K43" s="7">
        <v>1.1000000000000001</v>
      </c>
      <c r="L43" s="8">
        <f t="shared" si="1"/>
        <v>3.3000000000000002E-2</v>
      </c>
      <c r="M43" s="12">
        <v>5.0000000000000001E-3</v>
      </c>
      <c r="N43" s="10">
        <f t="shared" si="2"/>
        <v>1.65E-4</v>
      </c>
      <c r="O43" s="10">
        <f t="shared" si="3"/>
        <v>1.4999999999999999E-4</v>
      </c>
      <c r="P43" t="s">
        <v>21</v>
      </c>
    </row>
    <row r="44" spans="1:16" ht="24.95" customHeight="1">
      <c r="A44" s="5" t="s">
        <v>71</v>
      </c>
      <c r="B44" s="5">
        <v>29</v>
      </c>
      <c r="C44" s="6" t="s">
        <v>81</v>
      </c>
      <c r="D44" s="5" t="s">
        <v>57</v>
      </c>
      <c r="E44" s="167">
        <v>50</v>
      </c>
      <c r="F44" s="5"/>
      <c r="G44" s="5"/>
      <c r="H44" s="5"/>
      <c r="I44" s="5"/>
      <c r="J44" s="5">
        <v>100</v>
      </c>
      <c r="K44" s="7">
        <v>1.1000000000000001</v>
      </c>
      <c r="L44" s="8">
        <f t="shared" si="1"/>
        <v>0.55000000000000004</v>
      </c>
      <c r="M44" s="12">
        <v>2.5000000000000001E-3</v>
      </c>
      <c r="N44" s="10">
        <f t="shared" si="2"/>
        <v>1.3750000000000001E-3</v>
      </c>
      <c r="O44" s="10">
        <f t="shared" si="3"/>
        <v>1.25E-3</v>
      </c>
      <c r="P44" t="s">
        <v>21</v>
      </c>
    </row>
    <row r="45" spans="1:16" ht="24.95" customHeight="1">
      <c r="A45" s="5" t="s">
        <v>43</v>
      </c>
      <c r="B45" s="5">
        <v>30</v>
      </c>
      <c r="C45" s="6" t="s">
        <v>47</v>
      </c>
      <c r="D45" s="5" t="s">
        <v>48</v>
      </c>
      <c r="E45" s="167">
        <v>92</v>
      </c>
      <c r="F45" s="5"/>
      <c r="G45" s="5"/>
      <c r="H45" s="5"/>
      <c r="I45" s="5"/>
      <c r="J45" s="5">
        <v>100</v>
      </c>
      <c r="K45" s="7">
        <v>1.1000000000000001</v>
      </c>
      <c r="L45" s="8">
        <f t="shared" si="1"/>
        <v>1.0120000000000002</v>
      </c>
      <c r="M45" s="9">
        <v>5.0000000000000001E-4</v>
      </c>
      <c r="N45" s="10">
        <f t="shared" si="2"/>
        <v>5.0600000000000016E-4</v>
      </c>
      <c r="O45" s="10">
        <f t="shared" si="3"/>
        <v>4.6000000000000012E-4</v>
      </c>
      <c r="P45" t="s">
        <v>26</v>
      </c>
    </row>
    <row r="46" spans="1:16" ht="24.95" customHeight="1">
      <c r="A46" s="5" t="s">
        <v>43</v>
      </c>
      <c r="B46" s="5">
        <v>31</v>
      </c>
      <c r="C46" s="6" t="s">
        <v>108</v>
      </c>
      <c r="D46" s="5" t="s">
        <v>48</v>
      </c>
      <c r="E46" s="167">
        <v>930</v>
      </c>
      <c r="F46" s="5"/>
      <c r="G46" s="5"/>
      <c r="H46" s="5"/>
      <c r="I46" s="5"/>
      <c r="J46" s="5">
        <v>100</v>
      </c>
      <c r="K46" s="7">
        <v>1.1000000000000001</v>
      </c>
      <c r="L46" s="8">
        <f t="shared" si="1"/>
        <v>10.230000000000002</v>
      </c>
      <c r="M46" s="9">
        <v>5.0000000000000001E-4</v>
      </c>
      <c r="N46" s="10">
        <f t="shared" si="2"/>
        <v>5.1150000000000015E-3</v>
      </c>
      <c r="O46" s="10">
        <f t="shared" si="3"/>
        <v>4.6500000000000014E-3</v>
      </c>
      <c r="P46" t="s">
        <v>26</v>
      </c>
    </row>
    <row r="47" spans="1:16" ht="24.95" customHeight="1">
      <c r="A47" s="5" t="s">
        <v>43</v>
      </c>
      <c r="B47" s="5">
        <v>32</v>
      </c>
      <c r="C47" s="6" t="s">
        <v>109</v>
      </c>
      <c r="D47" s="5" t="s">
        <v>48</v>
      </c>
      <c r="E47" s="167">
        <v>678</v>
      </c>
      <c r="F47" s="5"/>
      <c r="G47" s="5"/>
      <c r="H47" s="5"/>
      <c r="I47" s="5"/>
      <c r="J47" s="5">
        <v>100</v>
      </c>
      <c r="K47" s="7">
        <v>1.1000000000000001</v>
      </c>
      <c r="L47" s="8">
        <f t="shared" si="1"/>
        <v>7.4580000000000011</v>
      </c>
      <c r="M47" s="9">
        <v>5.0000000000000001E-4</v>
      </c>
      <c r="N47" s="10">
        <f t="shared" si="2"/>
        <v>3.7290000000000005E-3</v>
      </c>
      <c r="O47" s="10">
        <f t="shared" si="3"/>
        <v>3.3900000000000002E-3</v>
      </c>
      <c r="P47" t="s">
        <v>26</v>
      </c>
    </row>
    <row r="48" spans="1:16" ht="24.95" customHeight="1">
      <c r="A48" s="5" t="s">
        <v>43</v>
      </c>
      <c r="B48" s="5">
        <v>33</v>
      </c>
      <c r="C48" s="6" t="s">
        <v>51</v>
      </c>
      <c r="D48" s="5" t="s">
        <v>48</v>
      </c>
      <c r="E48" s="167">
        <v>70</v>
      </c>
      <c r="F48" s="5"/>
      <c r="G48" s="5"/>
      <c r="H48" s="5"/>
      <c r="I48" s="5"/>
      <c r="J48" s="5">
        <v>130</v>
      </c>
      <c r="K48" s="7">
        <v>1.1000000000000001</v>
      </c>
      <c r="L48" s="8">
        <f t="shared" si="1"/>
        <v>1.0009999999999999</v>
      </c>
      <c r="M48" s="9">
        <v>5.0000000000000001E-4</v>
      </c>
      <c r="N48" s="10">
        <f t="shared" si="2"/>
        <v>5.0049999999999997E-4</v>
      </c>
      <c r="O48" s="10">
        <f t="shared" si="3"/>
        <v>4.5499999999999995E-4</v>
      </c>
      <c r="P48" t="s">
        <v>26</v>
      </c>
    </row>
    <row r="49" spans="1:16" ht="24.95" customHeight="1">
      <c r="A49" s="5" t="s">
        <v>43</v>
      </c>
      <c r="B49" s="5">
        <v>34</v>
      </c>
      <c r="C49" s="6" t="s">
        <v>52</v>
      </c>
      <c r="D49" s="5" t="s">
        <v>48</v>
      </c>
      <c r="E49" s="167">
        <v>250</v>
      </c>
      <c r="F49" s="5"/>
      <c r="G49" s="5"/>
      <c r="H49" s="5"/>
      <c r="I49" s="5"/>
      <c r="J49" s="5">
        <v>100</v>
      </c>
      <c r="K49" s="7">
        <v>1.1000000000000001</v>
      </c>
      <c r="L49" s="8">
        <f t="shared" si="1"/>
        <v>2.75</v>
      </c>
      <c r="M49" s="9">
        <v>5.0000000000000001E-4</v>
      </c>
      <c r="N49" s="10">
        <f t="shared" si="2"/>
        <v>1.3749999999999999E-3</v>
      </c>
      <c r="O49" s="10">
        <f t="shared" si="3"/>
        <v>1.2499999999999998E-3</v>
      </c>
      <c r="P49" t="s">
        <v>26</v>
      </c>
    </row>
    <row r="50" spans="1:16" ht="24.95" customHeight="1">
      <c r="A50" s="5" t="s">
        <v>43</v>
      </c>
      <c r="B50" s="5">
        <v>35</v>
      </c>
      <c r="C50" s="6" t="s">
        <v>53</v>
      </c>
      <c r="D50" s="5" t="s">
        <v>48</v>
      </c>
      <c r="E50" s="167">
        <v>780</v>
      </c>
      <c r="F50" s="5"/>
      <c r="G50" s="5"/>
      <c r="H50" s="5"/>
      <c r="I50" s="5"/>
      <c r="J50" s="5">
        <v>100</v>
      </c>
      <c r="K50" s="7">
        <v>1.1000000000000001</v>
      </c>
      <c r="L50" s="8">
        <f t="shared" si="1"/>
        <v>8.58</v>
      </c>
      <c r="M50" s="9">
        <v>5.0000000000000001E-4</v>
      </c>
      <c r="N50" s="10">
        <f t="shared" si="2"/>
        <v>4.2900000000000004E-3</v>
      </c>
      <c r="O50" s="10">
        <f t="shared" si="3"/>
        <v>3.9000000000000003E-3</v>
      </c>
      <c r="P50" t="s">
        <v>26</v>
      </c>
    </row>
    <row r="51" spans="1:16" ht="24.95" customHeight="1">
      <c r="A51" s="5" t="s">
        <v>8</v>
      </c>
      <c r="B51" s="5">
        <v>37</v>
      </c>
      <c r="C51" s="6" t="s">
        <v>82</v>
      </c>
      <c r="D51" s="5" t="s">
        <v>57</v>
      </c>
      <c r="E51" s="5">
        <v>80</v>
      </c>
      <c r="F51" s="5"/>
      <c r="G51" s="5"/>
      <c r="H51" s="5"/>
      <c r="I51" s="5"/>
      <c r="J51" s="5">
        <v>110</v>
      </c>
      <c r="K51" s="7">
        <v>1.1200000000000001</v>
      </c>
      <c r="L51" s="8">
        <f t="shared" si="1"/>
        <v>0.98560000000000025</v>
      </c>
      <c r="M51" s="12">
        <v>2.5000000000000001E-3</v>
      </c>
      <c r="N51" s="10">
        <f t="shared" si="2"/>
        <v>2.4640000000000005E-3</v>
      </c>
      <c r="O51" s="10">
        <f t="shared" si="3"/>
        <v>2.2000000000000001E-3</v>
      </c>
      <c r="P51" t="s">
        <v>25</v>
      </c>
    </row>
    <row r="52" spans="1:16" ht="24.95" customHeight="1">
      <c r="A52" s="5" t="s">
        <v>8</v>
      </c>
      <c r="B52" s="5">
        <v>38</v>
      </c>
      <c r="C52" s="194" t="s">
        <v>110</v>
      </c>
      <c r="D52" s="5" t="s">
        <v>57</v>
      </c>
      <c r="E52" s="167">
        <v>42.636363636363633</v>
      </c>
      <c r="F52" s="5"/>
      <c r="G52" s="5"/>
      <c r="H52" s="5"/>
      <c r="I52" s="5"/>
      <c r="J52" s="5">
        <v>100</v>
      </c>
      <c r="K52" s="7">
        <v>1.1000000000000001</v>
      </c>
      <c r="L52" s="8">
        <f t="shared" si="1"/>
        <v>0.46900000000000003</v>
      </c>
      <c r="M52" s="168">
        <v>2.5000000000000001E-3</v>
      </c>
      <c r="N52" s="10">
        <f t="shared" si="2"/>
        <v>1.1725000000000001E-3</v>
      </c>
      <c r="O52" s="10">
        <f t="shared" si="3"/>
        <v>1.0659090909090909E-3</v>
      </c>
      <c r="P52" t="s">
        <v>25</v>
      </c>
    </row>
    <row r="53" spans="1:16" ht="24.95" customHeight="1">
      <c r="A53" s="5" t="s">
        <v>8</v>
      </c>
      <c r="B53" s="5">
        <v>39</v>
      </c>
      <c r="C53" s="6" t="s">
        <v>111</v>
      </c>
      <c r="D53" s="5" t="s">
        <v>57</v>
      </c>
      <c r="E53" s="167">
        <v>58.36363636363636</v>
      </c>
      <c r="F53" s="5"/>
      <c r="G53" s="5"/>
      <c r="H53" s="5"/>
      <c r="I53" s="5"/>
      <c r="J53" s="5">
        <v>100</v>
      </c>
      <c r="K53" s="7">
        <v>1.1000000000000001</v>
      </c>
      <c r="L53" s="8">
        <f t="shared" si="1"/>
        <v>0.64200000000000002</v>
      </c>
      <c r="M53" s="168">
        <v>2.5000000000000001E-3</v>
      </c>
      <c r="N53" s="10">
        <f t="shared" si="2"/>
        <v>1.6050000000000001E-3</v>
      </c>
      <c r="O53" s="10">
        <f t="shared" si="3"/>
        <v>1.459090909090909E-3</v>
      </c>
      <c r="P53" t="s">
        <v>25</v>
      </c>
    </row>
    <row r="54" spans="1:16" ht="24.95" customHeight="1">
      <c r="A54" s="5" t="s">
        <v>8</v>
      </c>
      <c r="B54" s="5">
        <v>40</v>
      </c>
      <c r="C54" s="6" t="s">
        <v>112</v>
      </c>
      <c r="D54" s="5" t="s">
        <v>57</v>
      </c>
      <c r="E54" s="167">
        <v>44.727272727272727</v>
      </c>
      <c r="F54" s="5"/>
      <c r="G54" s="5"/>
      <c r="H54" s="5"/>
      <c r="I54" s="5"/>
      <c r="J54" s="5">
        <v>100</v>
      </c>
      <c r="K54" s="7">
        <v>1.1000000000000001</v>
      </c>
      <c r="L54" s="8">
        <f>(AVERAGEA(E54:I54)/100)*(J54/100)*(K54)</f>
        <v>0.49200000000000005</v>
      </c>
      <c r="M54" s="168">
        <v>2.5000000000000001E-3</v>
      </c>
      <c r="N54" s="10">
        <f>+L54*M54</f>
        <v>1.2300000000000002E-3</v>
      </c>
      <c r="O54" s="10">
        <f>+N54/K54</f>
        <v>1.1181818181818183E-3</v>
      </c>
      <c r="P54" t="s">
        <v>25</v>
      </c>
    </row>
    <row r="55" spans="1:16" ht="24.95" customHeight="1">
      <c r="A55" s="5" t="s">
        <v>58</v>
      </c>
      <c r="B55" s="5">
        <v>45</v>
      </c>
      <c r="C55" s="6" t="s">
        <v>86</v>
      </c>
      <c r="D55" s="5" t="s">
        <v>48</v>
      </c>
      <c r="E55" s="167">
        <v>0</v>
      </c>
      <c r="J55" s="234">
        <v>100</v>
      </c>
      <c r="K55" s="234">
        <v>1.1000000000000001</v>
      </c>
      <c r="L55" s="234">
        <v>10.230000000000002</v>
      </c>
      <c r="M55" s="235">
        <v>5.263157894736842E-4</v>
      </c>
      <c r="N55" s="234">
        <v>1</v>
      </c>
      <c r="O55" s="234">
        <v>1</v>
      </c>
      <c r="P55" s="233" t="s">
        <v>26</v>
      </c>
    </row>
    <row r="56" spans="1:16" ht="24.95" customHeight="1">
      <c r="A56" s="5" t="s">
        <v>64</v>
      </c>
      <c r="B56" s="5">
        <v>46</v>
      </c>
      <c r="C56" s="6" t="s">
        <v>87</v>
      </c>
      <c r="D56" s="5" t="s">
        <v>48</v>
      </c>
      <c r="E56" s="167">
        <v>0</v>
      </c>
      <c r="J56" s="234">
        <v>100</v>
      </c>
      <c r="K56" s="234">
        <v>1.1000000000000001</v>
      </c>
      <c r="L56" s="234">
        <v>10.230000000000002</v>
      </c>
      <c r="M56" s="236">
        <v>5.0000000000000002E-5</v>
      </c>
      <c r="N56" s="234">
        <v>1</v>
      </c>
      <c r="O56" s="234">
        <v>1</v>
      </c>
      <c r="P56" s="233" t="s">
        <v>26</v>
      </c>
    </row>
    <row r="57" spans="1:16" ht="24.95" customHeight="1"/>
    <row r="58" spans="1:16" ht="24.95" customHeight="1"/>
    <row r="59" spans="1:16" ht="24.95" customHeight="1"/>
    <row r="60" spans="1:16" ht="24.95" customHeight="1"/>
    <row r="61" spans="1:16" ht="24.95" customHeight="1"/>
    <row r="62" spans="1:16" ht="24.95" customHeight="1"/>
    <row r="63" spans="1:16" ht="24.95" customHeight="1"/>
    <row r="64" spans="1:16"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row r="75" ht="24.95" customHeight="1"/>
    <row r="76" ht="24.95" customHeight="1"/>
    <row r="77" ht="24.95" customHeight="1"/>
    <row r="78" ht="24.95" customHeight="1"/>
    <row r="79" ht="24.95" customHeight="1"/>
    <row r="80" ht="24.95" customHeight="1"/>
    <row r="81" ht="24.95" customHeight="1"/>
    <row r="82" ht="24.95" customHeight="1"/>
    <row r="83" ht="24.95" customHeight="1"/>
    <row r="84" ht="24.95" customHeight="1"/>
    <row r="85" ht="24.95" customHeight="1"/>
    <row r="86" ht="24.95" customHeight="1"/>
    <row r="87" ht="24.95" customHeight="1"/>
    <row r="88" ht="24.95" customHeight="1"/>
    <row r="89" ht="24.95" customHeight="1"/>
    <row r="90" ht="24.95" customHeight="1"/>
    <row r="91" ht="24.95" customHeight="1"/>
    <row r="92" ht="24.95" customHeight="1"/>
    <row r="93" ht="24.95" customHeight="1"/>
    <row r="94" ht="24.95" customHeight="1"/>
    <row r="95" ht="24.95" customHeight="1"/>
    <row r="96" ht="24.95" customHeight="1"/>
    <row r="97" ht="24.95" customHeight="1"/>
    <row r="98" ht="24.95" customHeight="1"/>
    <row r="99" ht="24.95" customHeight="1"/>
    <row r="100" ht="24.95" customHeight="1"/>
    <row r="101" ht="24.95" customHeight="1"/>
    <row r="102" ht="24.95" customHeight="1"/>
    <row r="103" ht="24.95" customHeight="1"/>
    <row r="104" ht="24.95" customHeight="1"/>
    <row r="105" ht="24.95" customHeight="1"/>
    <row r="106" ht="24.95" customHeight="1"/>
    <row r="107" ht="24.95" customHeight="1"/>
    <row r="108" ht="24.95" customHeight="1"/>
    <row r="109" ht="24.95" customHeight="1"/>
    <row r="110" ht="24.95" customHeight="1"/>
    <row r="111" ht="24.95" customHeight="1"/>
    <row r="112" ht="24.95" customHeight="1"/>
    <row r="113" ht="24.95" customHeight="1"/>
    <row r="114" ht="24.95" customHeight="1"/>
    <row r="115" ht="24.95" customHeight="1"/>
    <row r="116" ht="24.95" customHeight="1"/>
    <row r="117" ht="24.95" customHeight="1"/>
    <row r="118" ht="24.95" customHeight="1"/>
    <row r="119" ht="24.95" customHeight="1"/>
    <row r="120" ht="24.95" customHeight="1"/>
    <row r="121" ht="24.95" customHeight="1"/>
    <row r="122" ht="24.95" customHeight="1"/>
    <row r="123" ht="24.95" customHeight="1"/>
    <row r="124" ht="24.95" customHeight="1"/>
    <row r="125" ht="24.95" customHeight="1"/>
    <row r="126" ht="24.95" customHeight="1"/>
    <row r="127" ht="24.95" customHeight="1"/>
    <row r="128" ht="24.95" customHeight="1"/>
    <row r="129" ht="24.95" customHeight="1"/>
    <row r="130" ht="24.95" customHeight="1"/>
    <row r="131" ht="24.95" customHeight="1"/>
    <row r="132" ht="24.95" customHeight="1"/>
    <row r="133" ht="24.95" customHeight="1"/>
    <row r="134" ht="24.95" customHeight="1"/>
    <row r="135" ht="24.95" customHeight="1"/>
    <row r="136" ht="24.95" customHeight="1"/>
    <row r="137" ht="24.95" customHeight="1"/>
    <row r="138" ht="24.95" customHeight="1"/>
    <row r="139" ht="24.95" customHeight="1"/>
    <row r="140" ht="24.95" customHeight="1"/>
    <row r="141" ht="24.95" customHeight="1"/>
    <row r="142" ht="24.95" customHeight="1"/>
    <row r="143" ht="24.95" customHeight="1"/>
    <row r="144" ht="24.95" customHeight="1"/>
  </sheetData>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FFEC6-163A-4873-8489-C36B199FD28C}">
  <dimension ref="A1:P142"/>
  <sheetViews>
    <sheetView tabSelected="1" zoomScale="85" zoomScaleNormal="85" workbookViewId="0">
      <selection activeCell="A69" sqref="A69"/>
    </sheetView>
  </sheetViews>
  <sheetFormatPr defaultColWidth="11.42578125" defaultRowHeight="15"/>
  <cols>
    <col min="1" max="1" width="12.710937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2.42578125" customWidth="1"/>
    <col min="16" max="16" width="18.7109375" bestFit="1" customWidth="1"/>
  </cols>
  <sheetData>
    <row r="1" spans="1:16" ht="24.95" customHeight="1" thickBot="1"/>
    <row r="2" spans="1:16" ht="24.95" customHeight="1" thickTop="1" thickBot="1">
      <c r="A2" s="123" t="s">
        <v>0</v>
      </c>
      <c r="B2" s="124" t="s">
        <v>113</v>
      </c>
      <c r="C2" s="242" t="s">
        <v>2</v>
      </c>
      <c r="D2" s="239" t="s">
        <v>3</v>
      </c>
      <c r="E2" s="240"/>
      <c r="F2" s="125">
        <f>SUMIF(D16:D106,"D",N16:N106)</f>
        <v>1.1154581583333334</v>
      </c>
      <c r="G2" s="239" t="s">
        <v>4</v>
      </c>
      <c r="H2" s="240"/>
      <c r="I2" s="180">
        <f>SUMIF(D16:D106,"D",O16:O106)/1.3</f>
        <v>0.84954775641025637</v>
      </c>
      <c r="J2" s="241" t="s">
        <v>5</v>
      </c>
      <c r="K2" s="240"/>
      <c r="L2" s="125">
        <f>480/I4</f>
        <v>269.61781998077606</v>
      </c>
      <c r="M2" s="239" t="s">
        <v>6</v>
      </c>
      <c r="N2" s="240"/>
      <c r="O2" s="126">
        <f>((F2+F3)/1.3-(I2+I3))*MIN(L2:L3)</f>
        <v>5.5121222603200888</v>
      </c>
      <c r="P2" s="237" t="s">
        <v>7</v>
      </c>
    </row>
    <row r="3" spans="1:16" ht="24.95" customHeight="1" thickTop="1" thickBot="1">
      <c r="A3" s="123" t="s">
        <v>8</v>
      </c>
      <c r="B3" s="124" t="s">
        <v>114</v>
      </c>
      <c r="C3" s="243"/>
      <c r="D3" s="245" t="s">
        <v>10</v>
      </c>
      <c r="E3" s="246"/>
      <c r="F3" s="127">
        <f>SUMIF(D16:D106,"R",N16:N106)</f>
        <v>0.16197156563492057</v>
      </c>
      <c r="G3" s="245" t="s">
        <v>11</v>
      </c>
      <c r="H3" s="246"/>
      <c r="I3" s="181">
        <f>SUMIF(D16:D106,"R",O16:O106)/1.3</f>
        <v>0.11264628676878677</v>
      </c>
      <c r="J3" s="247" t="s">
        <v>12</v>
      </c>
      <c r="K3" s="246"/>
      <c r="L3" s="127">
        <f>480/(F2/1.3+F3/1.3)/1.06</f>
        <v>460.83102204192051</v>
      </c>
      <c r="M3" s="245" t="s">
        <v>13</v>
      </c>
      <c r="N3" s="246"/>
      <c r="O3" s="128">
        <f>IF((480-L4)&lt;O2,L3,L2)</f>
        <v>269.61781998077606</v>
      </c>
      <c r="P3" s="238"/>
    </row>
    <row r="4" spans="1:16" ht="24.95" customHeight="1" thickTop="1" thickBot="1">
      <c r="A4" s="123" t="s">
        <v>14</v>
      </c>
      <c r="B4" s="170">
        <f>SUMIF(D16:D89,"MC",N16:N89)</f>
        <v>0.93075000000000008</v>
      </c>
      <c r="C4" s="244"/>
      <c r="D4" s="239" t="s">
        <v>15</v>
      </c>
      <c r="E4" s="240"/>
      <c r="F4" s="125">
        <f>IF(1.1*(B4*1.08-F3/1.3)&lt;0,0,1.1*(B4*1.08-F3/1.3))</f>
        <v>0.96867813677045211</v>
      </c>
      <c r="G4" s="239" t="s">
        <v>16</v>
      </c>
      <c r="H4" s="240"/>
      <c r="I4" s="126">
        <f>IF(F4=0,(F2/1.3+F3/1.3)*1.06,B4+I2)</f>
        <v>1.7802977564102564</v>
      </c>
      <c r="J4" s="241" t="s">
        <v>17</v>
      </c>
      <c r="K4" s="240"/>
      <c r="L4" s="125">
        <f>(I2+I3)*MIN(L2:L3)*1.06</f>
        <v>274.99013993964769</v>
      </c>
      <c r="M4" s="239" t="s">
        <v>18</v>
      </c>
      <c r="N4" s="240"/>
      <c r="O4" s="129">
        <f>8*1.397*100/O3</f>
        <v>4.1451266095085462</v>
      </c>
      <c r="P4" s="196">
        <v>45</v>
      </c>
    </row>
    <row r="5" spans="1:16" ht="0.2" customHeight="1" thickTop="1">
      <c r="A5" s="197"/>
      <c r="B5" s="210"/>
      <c r="C5" s="198"/>
      <c r="D5" s="199"/>
      <c r="E5" s="199"/>
      <c r="F5" s="200"/>
      <c r="G5" s="199"/>
      <c r="H5" s="199"/>
      <c r="I5" s="200"/>
      <c r="J5" s="199"/>
      <c r="K5" s="199"/>
      <c r="L5" s="200"/>
      <c r="M5" s="199"/>
      <c r="N5" s="199"/>
      <c r="O5" s="201"/>
    </row>
    <row r="6" spans="1:16" ht="0.2" customHeight="1">
      <c r="A6" s="197"/>
      <c r="B6" s="210"/>
      <c r="C6" s="203" t="s">
        <v>19</v>
      </c>
      <c r="D6" s="207">
        <f>SUMIFS($O$15:$O$98,$P$15:$P$98,C6)</f>
        <v>0</v>
      </c>
      <c r="E6" s="204">
        <f>+D6*$O$3</f>
        <v>0</v>
      </c>
      <c r="F6" s="200"/>
      <c r="G6" s="199"/>
      <c r="H6" s="199"/>
      <c r="I6" s="200"/>
      <c r="J6" s="199"/>
      <c r="K6" s="199"/>
      <c r="L6" s="200"/>
      <c r="M6" s="199"/>
      <c r="N6" s="199"/>
      <c r="O6" s="201"/>
    </row>
    <row r="7" spans="1:16" ht="0.2" customHeight="1">
      <c r="A7" s="197"/>
      <c r="B7" s="210"/>
      <c r="C7" s="187" t="s">
        <v>20</v>
      </c>
      <c r="D7" s="208">
        <f>SUMIFS($O$15:$O$98,$P$15:$P$98,C7)</f>
        <v>2.2727272727272728E-2</v>
      </c>
      <c r="E7" s="205">
        <f t="shared" ref="E7:E13" si="0">+D7*$O$3</f>
        <v>6.1276777268358193</v>
      </c>
      <c r="F7" s="200"/>
      <c r="G7" s="199"/>
      <c r="H7" s="199"/>
      <c r="I7" s="200"/>
      <c r="J7" s="199"/>
      <c r="K7" s="199"/>
      <c r="L7" s="200"/>
      <c r="M7" s="199"/>
      <c r="N7" s="199"/>
      <c r="O7" s="201"/>
    </row>
    <row r="8" spans="1:16" ht="0.2" customHeight="1">
      <c r="A8" s="197"/>
      <c r="B8" s="210"/>
      <c r="C8" s="187" t="s">
        <v>21</v>
      </c>
      <c r="D8" s="208">
        <f>SUMIFS($O$15:$O$98,$P$15:$P$98,C8)</f>
        <v>5.5044402597402606E-2</v>
      </c>
      <c r="E8" s="205">
        <f t="shared" si="0"/>
        <v>14.840951830455857</v>
      </c>
      <c r="F8" s="200"/>
      <c r="G8" s="199"/>
      <c r="H8" s="199"/>
      <c r="I8" s="200"/>
      <c r="J8" s="199"/>
      <c r="K8" s="199"/>
      <c r="L8" s="200"/>
      <c r="M8" s="199"/>
      <c r="N8" s="199"/>
      <c r="O8" s="201"/>
    </row>
    <row r="9" spans="1:16" ht="0.2" customHeight="1">
      <c r="A9" s="197"/>
      <c r="B9" s="210"/>
      <c r="C9" s="187" t="s">
        <v>22</v>
      </c>
      <c r="D9" s="208">
        <f>SUMIFS($O$15:$O$98,$P$15:$P$98,C9)</f>
        <v>8.4027777777777798E-3</v>
      </c>
      <c r="E9" s="205">
        <f t="shared" si="0"/>
        <v>2.2655386262273551</v>
      </c>
      <c r="F9" s="200"/>
      <c r="G9" s="199"/>
      <c r="H9" s="199"/>
      <c r="I9" s="200"/>
      <c r="J9" s="199"/>
      <c r="K9" s="199"/>
      <c r="L9" s="200"/>
      <c r="M9" s="199"/>
      <c r="N9" s="199"/>
      <c r="O9" s="201"/>
    </row>
    <row r="10" spans="1:16" ht="0.2" customHeight="1">
      <c r="A10" s="197"/>
      <c r="B10" s="210"/>
      <c r="C10" s="187" t="s">
        <v>23</v>
      </c>
      <c r="D10" s="208">
        <f>SUMIFS($O$15:$O$98,$P$15:$P$98,C10)</f>
        <v>5.6828750000000011E-2</v>
      </c>
      <c r="E10" s="205">
        <f>+D10*$O$3</f>
        <v>15.322043687232531</v>
      </c>
      <c r="F10" s="200"/>
      <c r="G10" s="199"/>
      <c r="H10" s="199"/>
      <c r="I10" s="200"/>
      <c r="J10" s="199"/>
      <c r="K10" s="199"/>
      <c r="L10" s="200"/>
      <c r="M10" s="199"/>
      <c r="N10" s="199"/>
      <c r="O10" s="201"/>
    </row>
    <row r="11" spans="1:16" ht="0.2" customHeight="1">
      <c r="A11" s="197"/>
      <c r="B11" s="210"/>
      <c r="C11" s="187" t="s">
        <v>24</v>
      </c>
      <c r="D11" s="208">
        <f>SUMIFS($O$15:$O$98,$P$15:$P$98,C11)</f>
        <v>2.8896780303030299E-2</v>
      </c>
      <c r="E11" s="205">
        <f t="shared" si="0"/>
        <v>7.7910869097664586</v>
      </c>
      <c r="F11" s="200"/>
      <c r="G11" s="199"/>
      <c r="H11" s="199"/>
      <c r="I11" s="200"/>
      <c r="J11" s="199"/>
      <c r="K11" s="199"/>
      <c r="L11" s="200"/>
      <c r="M11" s="199"/>
      <c r="N11" s="199"/>
      <c r="O11" s="201"/>
    </row>
    <row r="12" spans="1:16" ht="0.2" customHeight="1">
      <c r="A12" s="197"/>
      <c r="B12" s="210"/>
      <c r="C12" s="187" t="s">
        <v>25</v>
      </c>
      <c r="D12" s="208">
        <f>SUMIFS($O$15:$O$98,$P$15:$P$98,C12)</f>
        <v>7.3749999999999996E-3</v>
      </c>
      <c r="E12" s="205">
        <f t="shared" si="0"/>
        <v>1.9884314223582233</v>
      </c>
      <c r="F12" s="200"/>
      <c r="G12" s="199"/>
      <c r="H12" s="199"/>
      <c r="I12" s="200"/>
      <c r="J12" s="199"/>
      <c r="K12" s="199"/>
      <c r="L12" s="200"/>
      <c r="M12" s="199"/>
      <c r="N12" s="199"/>
      <c r="O12" s="201"/>
    </row>
    <row r="13" spans="1:16" ht="0.2" customHeight="1" thickBot="1">
      <c r="A13" s="197"/>
      <c r="B13" s="210"/>
      <c r="C13" s="189" t="s">
        <v>26</v>
      </c>
      <c r="D13" s="209">
        <f>SUMIFS($O$15:$O$98,$P$15:$P$98,C13)</f>
        <v>1.0773272727272727</v>
      </c>
      <c r="E13" s="206">
        <f t="shared" si="0"/>
        <v>290.46663067856224</v>
      </c>
      <c r="F13" s="200"/>
      <c r="G13" s="199"/>
      <c r="H13" s="199"/>
      <c r="I13" s="200"/>
      <c r="J13" s="199"/>
      <c r="K13" s="199"/>
      <c r="L13" s="200"/>
      <c r="M13" s="199"/>
      <c r="N13" s="199"/>
      <c r="O13" s="201"/>
    </row>
    <row r="14" spans="1:16" ht="24.95" customHeight="1" thickTop="1"/>
    <row r="15" spans="1:16" ht="24.95" customHeight="1">
      <c r="A15" s="1" t="s">
        <v>27</v>
      </c>
      <c r="B15" s="1" t="s">
        <v>28</v>
      </c>
      <c r="C15" s="1" t="s">
        <v>29</v>
      </c>
      <c r="D15" s="2" t="s">
        <v>30</v>
      </c>
      <c r="E15" s="2" t="s">
        <v>31</v>
      </c>
      <c r="F15" s="2" t="s">
        <v>32</v>
      </c>
      <c r="G15" s="2" t="s">
        <v>33</v>
      </c>
      <c r="H15" s="2" t="s">
        <v>34</v>
      </c>
      <c r="I15" s="2" t="s">
        <v>35</v>
      </c>
      <c r="J15" s="2" t="s">
        <v>36</v>
      </c>
      <c r="K15" s="3" t="s">
        <v>37</v>
      </c>
      <c r="L15" s="4" t="s">
        <v>38</v>
      </c>
      <c r="M15" s="2" t="s">
        <v>39</v>
      </c>
      <c r="N15" s="4" t="s">
        <v>40</v>
      </c>
      <c r="O15" s="4" t="s">
        <v>41</v>
      </c>
      <c r="P15" s="2" t="s">
        <v>42</v>
      </c>
    </row>
    <row r="16" spans="1:16" ht="24.95" customHeight="1">
      <c r="A16" s="5" t="s">
        <v>43</v>
      </c>
      <c r="B16" s="5">
        <v>1</v>
      </c>
      <c r="C16" s="6" t="s">
        <v>44</v>
      </c>
      <c r="D16" s="5" t="s">
        <v>14</v>
      </c>
      <c r="E16" s="5">
        <v>90</v>
      </c>
      <c r="F16" s="5"/>
      <c r="G16" s="5"/>
      <c r="H16" s="5"/>
      <c r="I16" s="5"/>
      <c r="J16" s="5">
        <v>100</v>
      </c>
      <c r="K16" s="7">
        <v>1</v>
      </c>
      <c r="L16" s="8">
        <f t="shared" ref="L16:L67" si="1">(AVERAGEA(E16:I16)/100)*(J16/100)*(K16)</f>
        <v>0.9</v>
      </c>
      <c r="M16" s="9">
        <v>1</v>
      </c>
      <c r="N16" s="231">
        <f t="shared" ref="N16:N67" si="2">+L16*M16</f>
        <v>0.9</v>
      </c>
      <c r="O16" s="10">
        <f>+N16/K16</f>
        <v>0.9</v>
      </c>
      <c r="P16" t="s">
        <v>46</v>
      </c>
    </row>
    <row r="17" spans="1:16" ht="24.95" customHeight="1">
      <c r="A17" s="5" t="s">
        <v>43</v>
      </c>
      <c r="B17" s="5">
        <v>2</v>
      </c>
      <c r="C17" s="6" t="s">
        <v>115</v>
      </c>
      <c r="D17" s="5" t="s">
        <v>14</v>
      </c>
      <c r="E17" s="5">
        <v>25</v>
      </c>
      <c r="F17" s="5"/>
      <c r="G17" s="5"/>
      <c r="H17" s="5"/>
      <c r="I17" s="5"/>
      <c r="J17" s="5">
        <v>100</v>
      </c>
      <c r="K17" s="7">
        <v>1</v>
      </c>
      <c r="L17" s="8">
        <f t="shared" si="1"/>
        <v>0.25</v>
      </c>
      <c r="M17" s="11">
        <v>0.1</v>
      </c>
      <c r="N17" s="231">
        <f t="shared" si="2"/>
        <v>2.5000000000000001E-2</v>
      </c>
      <c r="O17" s="10">
        <f t="shared" ref="O17:O67" si="3">+N17/K17</f>
        <v>2.5000000000000001E-2</v>
      </c>
      <c r="P17" t="s">
        <v>46</v>
      </c>
    </row>
    <row r="18" spans="1:16" ht="24.95" customHeight="1">
      <c r="A18" s="5" t="s">
        <v>43</v>
      </c>
      <c r="B18" s="5">
        <v>3</v>
      </c>
      <c r="C18" s="6" t="s">
        <v>116</v>
      </c>
      <c r="D18" s="5" t="s">
        <v>57</v>
      </c>
      <c r="E18" s="5">
        <v>5.2</v>
      </c>
      <c r="F18" s="5"/>
      <c r="G18" s="5"/>
      <c r="H18" s="5"/>
      <c r="I18" s="5"/>
      <c r="J18" s="5">
        <v>100</v>
      </c>
      <c r="K18" s="7">
        <v>1.1000000000000001</v>
      </c>
      <c r="L18" s="8">
        <f t="shared" si="1"/>
        <v>5.7200000000000008E-2</v>
      </c>
      <c r="M18" s="168">
        <v>0.01</v>
      </c>
      <c r="N18" s="231">
        <f t="shared" si="2"/>
        <v>5.7200000000000013E-4</v>
      </c>
      <c r="O18" s="10">
        <f t="shared" si="3"/>
        <v>5.2000000000000006E-4</v>
      </c>
      <c r="P18" t="s">
        <v>21</v>
      </c>
    </row>
    <row r="19" spans="1:16" ht="24.95" customHeight="1">
      <c r="A19" s="5" t="s">
        <v>43</v>
      </c>
      <c r="B19" s="5">
        <v>4</v>
      </c>
      <c r="C19" s="6" t="s">
        <v>60</v>
      </c>
      <c r="D19" s="5" t="s">
        <v>57</v>
      </c>
      <c r="E19" s="5">
        <v>20</v>
      </c>
      <c r="F19" s="5">
        <v>24</v>
      </c>
      <c r="G19" s="5">
        <v>18</v>
      </c>
      <c r="H19" s="5">
        <v>18</v>
      </c>
      <c r="I19" s="5">
        <v>20</v>
      </c>
      <c r="J19" s="5">
        <v>105</v>
      </c>
      <c r="K19" s="7">
        <v>1.1100000000000001</v>
      </c>
      <c r="L19" s="8">
        <f t="shared" si="1"/>
        <v>0.23310000000000003</v>
      </c>
      <c r="M19" s="168">
        <v>0.01</v>
      </c>
      <c r="N19" s="231">
        <f t="shared" si="2"/>
        <v>2.3310000000000002E-3</v>
      </c>
      <c r="O19" s="10">
        <f t="shared" si="3"/>
        <v>2.0999999999999999E-3</v>
      </c>
      <c r="P19" t="s">
        <v>21</v>
      </c>
    </row>
    <row r="20" spans="1:16" ht="24.95" customHeight="1">
      <c r="A20" s="5" t="s">
        <v>43</v>
      </c>
      <c r="B20" s="5">
        <v>5</v>
      </c>
      <c r="C20" s="6" t="s">
        <v>117</v>
      </c>
      <c r="D20" s="5" t="s">
        <v>57</v>
      </c>
      <c r="E20" s="167">
        <v>18</v>
      </c>
      <c r="F20" s="5"/>
      <c r="G20" s="5"/>
      <c r="H20" s="5"/>
      <c r="I20" s="5"/>
      <c r="J20" s="5">
        <v>100</v>
      </c>
      <c r="K20" s="7">
        <v>1.1000000000000001</v>
      </c>
      <c r="L20" s="8">
        <f t="shared" si="1"/>
        <v>0.19800000000000001</v>
      </c>
      <c r="M20" s="168">
        <v>0.01</v>
      </c>
      <c r="N20" s="231">
        <f t="shared" si="2"/>
        <v>1.98E-3</v>
      </c>
      <c r="O20" s="10">
        <f t="shared" si="3"/>
        <v>1.8E-3</v>
      </c>
      <c r="P20" t="s">
        <v>21</v>
      </c>
    </row>
    <row r="21" spans="1:16" ht="24.95" customHeight="1">
      <c r="A21" s="5" t="s">
        <v>43</v>
      </c>
      <c r="B21" s="5">
        <v>6</v>
      </c>
      <c r="C21" s="6" t="s">
        <v>118</v>
      </c>
      <c r="D21" s="5" t="s">
        <v>57</v>
      </c>
      <c r="E21" s="5">
        <v>18</v>
      </c>
      <c r="F21" s="5"/>
      <c r="G21" s="5"/>
      <c r="H21" s="5"/>
      <c r="I21" s="5"/>
      <c r="J21" s="5">
        <v>100</v>
      </c>
      <c r="K21" s="7">
        <v>1.1000000000000001</v>
      </c>
      <c r="L21" s="8">
        <f t="shared" si="1"/>
        <v>0.19800000000000001</v>
      </c>
      <c r="M21" s="168">
        <v>0.01</v>
      </c>
      <c r="N21" s="231">
        <f t="shared" si="2"/>
        <v>1.98E-3</v>
      </c>
      <c r="O21" s="10">
        <f t="shared" si="3"/>
        <v>1.8E-3</v>
      </c>
      <c r="P21" t="s">
        <v>21</v>
      </c>
    </row>
    <row r="22" spans="1:16" ht="24.95" customHeight="1">
      <c r="A22" s="5" t="s">
        <v>43</v>
      </c>
      <c r="B22" s="5">
        <v>7</v>
      </c>
      <c r="C22" s="6" t="s">
        <v>119</v>
      </c>
      <c r="D22" s="5" t="s">
        <v>57</v>
      </c>
      <c r="E22" s="5">
        <v>18</v>
      </c>
      <c r="F22" s="5"/>
      <c r="G22" s="5"/>
      <c r="H22" s="5"/>
      <c r="I22" s="5"/>
      <c r="J22" s="5">
        <v>100</v>
      </c>
      <c r="K22" s="7">
        <v>1.1000000000000001</v>
      </c>
      <c r="L22" s="8">
        <f t="shared" si="1"/>
        <v>0.19800000000000001</v>
      </c>
      <c r="M22" s="168">
        <v>0.01</v>
      </c>
      <c r="N22" s="231">
        <f t="shared" si="2"/>
        <v>1.98E-3</v>
      </c>
      <c r="O22" s="10">
        <f t="shared" si="3"/>
        <v>1.8E-3</v>
      </c>
      <c r="P22" t="s">
        <v>21</v>
      </c>
    </row>
    <row r="23" spans="1:16" ht="24.95" customHeight="1">
      <c r="A23" s="5" t="s">
        <v>43</v>
      </c>
      <c r="B23" s="5">
        <v>8</v>
      </c>
      <c r="C23" s="6" t="s">
        <v>120</v>
      </c>
      <c r="D23" s="5" t="s">
        <v>57</v>
      </c>
      <c r="E23" s="5">
        <v>10.3</v>
      </c>
      <c r="F23" s="5"/>
      <c r="G23" s="5"/>
      <c r="H23" s="5"/>
      <c r="I23" s="5"/>
      <c r="J23" s="5">
        <v>100</v>
      </c>
      <c r="K23" s="7">
        <v>1.1000000000000001</v>
      </c>
      <c r="L23" s="8">
        <f t="shared" si="1"/>
        <v>0.11330000000000001</v>
      </c>
      <c r="M23" s="168">
        <v>0.01</v>
      </c>
      <c r="N23" s="231">
        <f t="shared" si="2"/>
        <v>1.1330000000000001E-3</v>
      </c>
      <c r="O23" s="10">
        <f t="shared" si="3"/>
        <v>1.0300000000000001E-3</v>
      </c>
      <c r="P23" t="s">
        <v>21</v>
      </c>
    </row>
    <row r="24" spans="1:16" ht="24.95" customHeight="1">
      <c r="A24" s="5" t="s">
        <v>43</v>
      </c>
      <c r="B24" s="5">
        <v>9</v>
      </c>
      <c r="C24" s="6" t="s">
        <v>121</v>
      </c>
      <c r="D24" s="5" t="s">
        <v>57</v>
      </c>
      <c r="E24" s="167">
        <v>16.363636363636363</v>
      </c>
      <c r="F24" s="5"/>
      <c r="G24" s="5"/>
      <c r="H24" s="5"/>
      <c r="I24" s="5"/>
      <c r="J24" s="5">
        <v>100</v>
      </c>
      <c r="K24" s="7">
        <v>1.1000000000000001</v>
      </c>
      <c r="L24" s="8">
        <f t="shared" si="1"/>
        <v>0.18000000000000002</v>
      </c>
      <c r="M24" s="168">
        <v>0.01</v>
      </c>
      <c r="N24" s="231">
        <f t="shared" si="2"/>
        <v>1.8000000000000002E-3</v>
      </c>
      <c r="O24" s="10">
        <f t="shared" si="3"/>
        <v>1.6363636363636363E-3</v>
      </c>
      <c r="P24" t="s">
        <v>21</v>
      </c>
    </row>
    <row r="25" spans="1:16" ht="24.95" customHeight="1">
      <c r="A25" s="5" t="s">
        <v>43</v>
      </c>
      <c r="B25" s="5">
        <v>10</v>
      </c>
      <c r="C25" s="6" t="s">
        <v>122</v>
      </c>
      <c r="D25" s="5" t="s">
        <v>57</v>
      </c>
      <c r="E25" s="167">
        <v>16.363636363636363</v>
      </c>
      <c r="F25" s="5"/>
      <c r="G25" s="5"/>
      <c r="H25" s="5"/>
      <c r="I25" s="5"/>
      <c r="J25" s="5">
        <v>100</v>
      </c>
      <c r="K25" s="7">
        <v>1.1000000000000001</v>
      </c>
      <c r="L25" s="8">
        <f t="shared" si="1"/>
        <v>0.18000000000000002</v>
      </c>
      <c r="M25" s="168">
        <v>0.01</v>
      </c>
      <c r="N25" s="231">
        <f t="shared" si="2"/>
        <v>1.8000000000000002E-3</v>
      </c>
      <c r="O25" s="10">
        <f t="shared" si="3"/>
        <v>1.6363636363636363E-3</v>
      </c>
      <c r="P25" t="s">
        <v>21</v>
      </c>
    </row>
    <row r="26" spans="1:16" ht="24.95" customHeight="1">
      <c r="A26" s="5" t="s">
        <v>43</v>
      </c>
      <c r="B26" s="5">
        <v>14</v>
      </c>
      <c r="C26" s="6" t="s">
        <v>123</v>
      </c>
      <c r="D26" s="5" t="s">
        <v>57</v>
      </c>
      <c r="E26" s="167">
        <v>17.909090909090907</v>
      </c>
      <c r="F26" s="5"/>
      <c r="G26" s="5"/>
      <c r="H26" s="5"/>
      <c r="I26" s="5"/>
      <c r="J26" s="5">
        <v>100</v>
      </c>
      <c r="K26" s="7">
        <v>1.1000000000000001</v>
      </c>
      <c r="L26" s="8">
        <f t="shared" si="1"/>
        <v>0.19700000000000001</v>
      </c>
      <c r="M26" s="168">
        <v>0.04</v>
      </c>
      <c r="N26" s="231">
        <f t="shared" si="2"/>
        <v>7.8799999999999999E-3</v>
      </c>
      <c r="O26" s="10">
        <f t="shared" si="3"/>
        <v>7.1636363636363633E-3</v>
      </c>
      <c r="P26" t="s">
        <v>20</v>
      </c>
    </row>
    <row r="27" spans="1:16" ht="24.95" customHeight="1">
      <c r="A27" s="5" t="s">
        <v>58</v>
      </c>
      <c r="B27" s="5">
        <v>15</v>
      </c>
      <c r="C27" s="6" t="s">
        <v>59</v>
      </c>
      <c r="D27" s="5" t="s">
        <v>45</v>
      </c>
      <c r="E27" s="5">
        <v>88</v>
      </c>
      <c r="F27" s="5"/>
      <c r="G27" s="5"/>
      <c r="H27" s="5"/>
      <c r="I27" s="5"/>
      <c r="J27" s="5">
        <v>100</v>
      </c>
      <c r="K27" s="7">
        <v>1</v>
      </c>
      <c r="L27" s="8">
        <f t="shared" si="1"/>
        <v>0.88</v>
      </c>
      <c r="M27" s="9">
        <v>1</v>
      </c>
      <c r="N27" s="231">
        <f t="shared" si="2"/>
        <v>0.88</v>
      </c>
      <c r="O27" s="10">
        <f t="shared" si="3"/>
        <v>0.88</v>
      </c>
      <c r="P27" t="s">
        <v>46</v>
      </c>
    </row>
    <row r="28" spans="1:16" ht="24.95" customHeight="1">
      <c r="A28" s="5" t="s">
        <v>58</v>
      </c>
      <c r="B28" s="5">
        <v>16</v>
      </c>
      <c r="C28" s="6" t="s">
        <v>60</v>
      </c>
      <c r="D28" s="5" t="s">
        <v>57</v>
      </c>
      <c r="E28" s="5">
        <v>20</v>
      </c>
      <c r="F28" s="5">
        <v>24</v>
      </c>
      <c r="G28" s="5">
        <v>18</v>
      </c>
      <c r="H28" s="5">
        <v>18</v>
      </c>
      <c r="I28" s="5">
        <v>20</v>
      </c>
      <c r="J28" s="5">
        <v>105</v>
      </c>
      <c r="K28" s="7">
        <v>1.1100000000000001</v>
      </c>
      <c r="L28" s="8">
        <f t="shared" si="1"/>
        <v>0.23310000000000003</v>
      </c>
      <c r="M28" s="12">
        <v>5.0000000000000001E-3</v>
      </c>
      <c r="N28" s="231">
        <f t="shared" si="2"/>
        <v>1.1655000000000001E-3</v>
      </c>
      <c r="O28" s="10">
        <f t="shared" si="3"/>
        <v>1.0499999999999999E-3</v>
      </c>
      <c r="P28" t="s">
        <v>21</v>
      </c>
    </row>
    <row r="29" spans="1:16" ht="24.95" customHeight="1">
      <c r="A29" s="5" t="s">
        <v>58</v>
      </c>
      <c r="B29" s="5">
        <v>17</v>
      </c>
      <c r="C29" s="6" t="s">
        <v>124</v>
      </c>
      <c r="D29" s="5" t="s">
        <v>57</v>
      </c>
      <c r="E29" s="167">
        <v>16.90909090909091</v>
      </c>
      <c r="F29" s="5"/>
      <c r="G29" s="5"/>
      <c r="H29" s="5"/>
      <c r="I29" s="5"/>
      <c r="J29" s="5">
        <v>100</v>
      </c>
      <c r="K29" s="7">
        <v>1.1000000000000001</v>
      </c>
      <c r="L29" s="8">
        <f t="shared" si="1"/>
        <v>0.18600000000000003</v>
      </c>
      <c r="M29" s="12">
        <v>5.0000000000000001E-3</v>
      </c>
      <c r="N29" s="231">
        <f t="shared" si="2"/>
        <v>9.3000000000000016E-4</v>
      </c>
      <c r="O29" s="10">
        <f t="shared" si="3"/>
        <v>8.454545454545455E-4</v>
      </c>
      <c r="P29" t="s">
        <v>21</v>
      </c>
    </row>
    <row r="30" spans="1:16" ht="24.95" customHeight="1">
      <c r="A30" s="5" t="s">
        <v>58</v>
      </c>
      <c r="B30" s="5">
        <v>18</v>
      </c>
      <c r="C30" s="6" t="s">
        <v>125</v>
      </c>
      <c r="D30" s="5" t="s">
        <v>57</v>
      </c>
      <c r="E30" s="5">
        <v>10</v>
      </c>
      <c r="F30" s="5">
        <v>12</v>
      </c>
      <c r="G30" s="5"/>
      <c r="H30" s="5"/>
      <c r="I30" s="5"/>
      <c r="J30" s="5">
        <v>110</v>
      </c>
      <c r="K30" s="7">
        <v>1.1000000000000001</v>
      </c>
      <c r="L30" s="8">
        <f t="shared" si="1"/>
        <v>0.13310000000000002</v>
      </c>
      <c r="M30" s="12">
        <v>5.0000000000000001E-3</v>
      </c>
      <c r="N30" s="231">
        <f t="shared" si="2"/>
        <v>6.6550000000000018E-4</v>
      </c>
      <c r="O30" s="10">
        <f t="shared" si="3"/>
        <v>6.0500000000000007E-4</v>
      </c>
      <c r="P30" t="s">
        <v>21</v>
      </c>
    </row>
    <row r="31" spans="1:16" ht="24.95" customHeight="1">
      <c r="A31" s="5" t="s">
        <v>126</v>
      </c>
      <c r="B31" s="5">
        <v>19</v>
      </c>
      <c r="C31" s="6" t="s">
        <v>127</v>
      </c>
      <c r="D31" s="5" t="s">
        <v>45</v>
      </c>
      <c r="E31" s="5">
        <v>80</v>
      </c>
      <c r="F31" s="5"/>
      <c r="G31" s="5"/>
      <c r="H31" s="5"/>
      <c r="I31" s="5"/>
      <c r="J31" s="5">
        <v>100</v>
      </c>
      <c r="K31" s="7">
        <v>1</v>
      </c>
      <c r="L31" s="8">
        <f t="shared" si="1"/>
        <v>0.8</v>
      </c>
      <c r="M31" s="9">
        <v>1</v>
      </c>
      <c r="N31" s="232">
        <f t="shared" si="2"/>
        <v>0.8</v>
      </c>
      <c r="O31" s="10">
        <f t="shared" si="3"/>
        <v>0.8</v>
      </c>
      <c r="P31" t="s">
        <v>46</v>
      </c>
    </row>
    <row r="32" spans="1:16" ht="24.95" customHeight="1">
      <c r="A32" s="5" t="s">
        <v>126</v>
      </c>
      <c r="B32" s="5">
        <v>20</v>
      </c>
      <c r="C32" s="6" t="s">
        <v>60</v>
      </c>
      <c r="D32" s="5" t="s">
        <v>57</v>
      </c>
      <c r="E32" s="5">
        <v>20</v>
      </c>
      <c r="F32" s="5">
        <v>24</v>
      </c>
      <c r="G32" s="5">
        <v>18</v>
      </c>
      <c r="H32" s="5">
        <v>18</v>
      </c>
      <c r="I32" s="5">
        <v>20</v>
      </c>
      <c r="J32" s="5">
        <v>105</v>
      </c>
      <c r="K32" s="7">
        <v>1.1100000000000001</v>
      </c>
      <c r="L32" s="8">
        <f t="shared" si="1"/>
        <v>0.23310000000000003</v>
      </c>
      <c r="M32" s="12">
        <v>0.01</v>
      </c>
      <c r="N32" s="232">
        <f t="shared" si="2"/>
        <v>2.3310000000000002E-3</v>
      </c>
      <c r="O32" s="10">
        <f t="shared" si="3"/>
        <v>2.0999999999999999E-3</v>
      </c>
      <c r="P32" t="s">
        <v>21</v>
      </c>
    </row>
    <row r="33" spans="1:16" ht="24.95" customHeight="1">
      <c r="A33" s="5" t="s">
        <v>126</v>
      </c>
      <c r="B33" s="5">
        <v>21</v>
      </c>
      <c r="C33" s="6" t="s">
        <v>128</v>
      </c>
      <c r="D33" s="5" t="s">
        <v>57</v>
      </c>
      <c r="E33" s="167">
        <v>10.363636363636363</v>
      </c>
      <c r="F33" s="5"/>
      <c r="G33" s="5"/>
      <c r="H33" s="5"/>
      <c r="I33" s="5"/>
      <c r="J33" s="5">
        <v>100</v>
      </c>
      <c r="K33" s="7">
        <v>1.1000000000000001</v>
      </c>
      <c r="L33" s="8">
        <f t="shared" si="1"/>
        <v>0.114</v>
      </c>
      <c r="M33" s="12">
        <v>0.01</v>
      </c>
      <c r="N33" s="232">
        <f t="shared" si="2"/>
        <v>1.1400000000000002E-3</v>
      </c>
      <c r="O33" s="10">
        <f t="shared" si="3"/>
        <v>1.0363636363636365E-3</v>
      </c>
      <c r="P33" t="s">
        <v>21</v>
      </c>
    </row>
    <row r="34" spans="1:16" ht="24.95" customHeight="1">
      <c r="A34" s="5" t="s">
        <v>126</v>
      </c>
      <c r="B34" s="5">
        <v>22</v>
      </c>
      <c r="C34" s="6" t="s">
        <v>129</v>
      </c>
      <c r="D34" s="5" t="s">
        <v>57</v>
      </c>
      <c r="E34" s="5">
        <v>35</v>
      </c>
      <c r="F34" s="5"/>
      <c r="G34" s="5"/>
      <c r="H34" s="5"/>
      <c r="I34" s="5"/>
      <c r="J34" s="5">
        <v>115</v>
      </c>
      <c r="K34" s="7">
        <v>1.1200000000000001</v>
      </c>
      <c r="L34" s="8">
        <f t="shared" si="1"/>
        <v>0.45080000000000003</v>
      </c>
      <c r="M34" s="12">
        <v>0.01</v>
      </c>
      <c r="N34" s="232">
        <f t="shared" si="2"/>
        <v>4.5080000000000007E-3</v>
      </c>
      <c r="O34" s="10">
        <f t="shared" si="3"/>
        <v>4.0249999999999999E-3</v>
      </c>
      <c r="P34" t="s">
        <v>21</v>
      </c>
    </row>
    <row r="35" spans="1:16" ht="24.95" customHeight="1">
      <c r="A35" s="5" t="s">
        <v>126</v>
      </c>
      <c r="B35" s="5">
        <v>23</v>
      </c>
      <c r="C35" s="6" t="s">
        <v>130</v>
      </c>
      <c r="D35" s="5" t="s">
        <v>57</v>
      </c>
      <c r="E35" s="5">
        <v>35</v>
      </c>
      <c r="F35" s="5"/>
      <c r="G35" s="5"/>
      <c r="H35" s="5"/>
      <c r="I35" s="5"/>
      <c r="J35" s="5">
        <v>115</v>
      </c>
      <c r="K35" s="7">
        <v>1.1200000000000001</v>
      </c>
      <c r="L35" s="8">
        <f t="shared" si="1"/>
        <v>0.45080000000000003</v>
      </c>
      <c r="M35" s="12">
        <v>0.01</v>
      </c>
      <c r="N35" s="231">
        <f t="shared" si="2"/>
        <v>4.5080000000000007E-3</v>
      </c>
      <c r="O35" s="10">
        <f t="shared" si="3"/>
        <v>4.0249999999999999E-3</v>
      </c>
      <c r="P35" t="s">
        <v>21</v>
      </c>
    </row>
    <row r="36" spans="1:16" ht="24.95" customHeight="1">
      <c r="A36" s="5" t="s">
        <v>126</v>
      </c>
      <c r="B36" s="5">
        <v>24</v>
      </c>
      <c r="C36" s="6" t="s">
        <v>131</v>
      </c>
      <c r="D36" s="5" t="s">
        <v>57</v>
      </c>
      <c r="E36" s="5">
        <v>30</v>
      </c>
      <c r="F36" s="5">
        <v>27</v>
      </c>
      <c r="G36" s="5">
        <v>34</v>
      </c>
      <c r="H36" s="5">
        <v>41</v>
      </c>
      <c r="I36" s="5">
        <v>24</v>
      </c>
      <c r="J36" s="5">
        <v>110</v>
      </c>
      <c r="K36" s="7">
        <v>1.1100000000000001</v>
      </c>
      <c r="L36" s="8">
        <f t="shared" si="1"/>
        <v>0.38095200000000001</v>
      </c>
      <c r="M36" s="12">
        <v>0.01</v>
      </c>
      <c r="N36" s="231">
        <f t="shared" si="2"/>
        <v>3.8095200000000003E-3</v>
      </c>
      <c r="O36" s="10">
        <f t="shared" si="3"/>
        <v>3.4320000000000002E-3</v>
      </c>
      <c r="P36" t="s">
        <v>21</v>
      </c>
    </row>
    <row r="37" spans="1:16" ht="24.95" customHeight="1">
      <c r="A37" s="5" t="s">
        <v>126</v>
      </c>
      <c r="B37" s="5">
        <v>25</v>
      </c>
      <c r="C37" s="6" t="s">
        <v>132</v>
      </c>
      <c r="D37" s="5" t="s">
        <v>57</v>
      </c>
      <c r="E37" s="5">
        <v>10</v>
      </c>
      <c r="F37" s="5">
        <v>12</v>
      </c>
      <c r="G37" s="5"/>
      <c r="H37" s="5"/>
      <c r="I37" s="5"/>
      <c r="J37" s="5">
        <v>110</v>
      </c>
      <c r="K37" s="7">
        <v>1.1000000000000001</v>
      </c>
      <c r="L37" s="8">
        <f t="shared" si="1"/>
        <v>0.13310000000000002</v>
      </c>
      <c r="M37" s="12">
        <v>0.01</v>
      </c>
      <c r="N37" s="231">
        <f t="shared" si="2"/>
        <v>1.3310000000000004E-3</v>
      </c>
      <c r="O37" s="10">
        <f t="shared" si="3"/>
        <v>1.2100000000000001E-3</v>
      </c>
      <c r="P37" t="s">
        <v>21</v>
      </c>
    </row>
    <row r="38" spans="1:16" ht="24.95" customHeight="1">
      <c r="A38" s="5" t="s">
        <v>102</v>
      </c>
      <c r="B38" s="5">
        <v>26</v>
      </c>
      <c r="C38" s="6" t="s">
        <v>133</v>
      </c>
      <c r="D38" s="5" t="s">
        <v>57</v>
      </c>
      <c r="E38" s="167">
        <v>7.8181818181818175</v>
      </c>
      <c r="F38" s="5"/>
      <c r="G38" s="5"/>
      <c r="H38" s="5"/>
      <c r="I38" s="5"/>
      <c r="J38" s="5">
        <v>100</v>
      </c>
      <c r="K38" s="7">
        <v>1.1000000000000001</v>
      </c>
      <c r="L38" s="8">
        <f t="shared" si="1"/>
        <v>8.5999999999999993E-2</v>
      </c>
      <c r="M38" s="11">
        <v>1.6666666666666666E-2</v>
      </c>
      <c r="N38" s="231">
        <f t="shared" si="2"/>
        <v>1.4333333333333331E-3</v>
      </c>
      <c r="O38" s="10">
        <f t="shared" si="3"/>
        <v>1.3030303030303028E-3</v>
      </c>
      <c r="P38" t="s">
        <v>20</v>
      </c>
    </row>
    <row r="39" spans="1:16" ht="24.95" customHeight="1">
      <c r="A39" s="5" t="s">
        <v>102</v>
      </c>
      <c r="B39" s="5">
        <v>27</v>
      </c>
      <c r="C39" s="6" t="s">
        <v>105</v>
      </c>
      <c r="D39" s="5" t="s">
        <v>57</v>
      </c>
      <c r="E39" s="167">
        <v>15.090909090909092</v>
      </c>
      <c r="F39" s="5"/>
      <c r="G39" s="5"/>
      <c r="H39" s="5"/>
      <c r="I39" s="5"/>
      <c r="J39" s="5">
        <v>100</v>
      </c>
      <c r="K39" s="7">
        <v>1.1000000000000001</v>
      </c>
      <c r="L39" s="8">
        <f t="shared" si="1"/>
        <v>0.16600000000000001</v>
      </c>
      <c r="M39" s="11">
        <v>1.6666666666666666E-2</v>
      </c>
      <c r="N39" s="231">
        <f t="shared" si="2"/>
        <v>2.7666666666666668E-3</v>
      </c>
      <c r="O39" s="10">
        <f t="shared" si="3"/>
        <v>2.515151515151515E-3</v>
      </c>
      <c r="P39" t="s">
        <v>20</v>
      </c>
    </row>
    <row r="40" spans="1:16" ht="24.95" customHeight="1">
      <c r="A40" s="5" t="s">
        <v>8</v>
      </c>
      <c r="B40" s="5">
        <v>28</v>
      </c>
      <c r="C40" s="6" t="s">
        <v>134</v>
      </c>
      <c r="D40" s="5" t="s">
        <v>57</v>
      </c>
      <c r="E40" s="5">
        <v>41.666666666666671</v>
      </c>
      <c r="F40" s="5">
        <v>38.333333333333336</v>
      </c>
      <c r="G40" s="5">
        <v>40</v>
      </c>
      <c r="H40" s="5">
        <v>41.666666666666671</v>
      </c>
      <c r="I40" s="5">
        <v>40</v>
      </c>
      <c r="J40" s="5">
        <v>125</v>
      </c>
      <c r="K40" s="7">
        <v>1.1200000000000001</v>
      </c>
      <c r="L40" s="8">
        <f t="shared" si="1"/>
        <v>0.56466666666666687</v>
      </c>
      <c r="M40" s="11">
        <v>1.6666666666666666E-2</v>
      </c>
      <c r="N40" s="231">
        <f t="shared" si="2"/>
        <v>9.4111111111111149E-3</v>
      </c>
      <c r="O40" s="10">
        <f t="shared" si="3"/>
        <v>8.4027777777777798E-3</v>
      </c>
      <c r="P40" t="s">
        <v>22</v>
      </c>
    </row>
    <row r="41" spans="1:16" ht="24.95" customHeight="1">
      <c r="A41" s="5" t="s">
        <v>71</v>
      </c>
      <c r="B41" s="5">
        <v>29</v>
      </c>
      <c r="C41" s="6" t="s">
        <v>72</v>
      </c>
      <c r="D41" s="5" t="s">
        <v>57</v>
      </c>
      <c r="E41" s="167">
        <v>29.363636363636367</v>
      </c>
      <c r="F41" s="5"/>
      <c r="G41" s="5"/>
      <c r="H41" s="5"/>
      <c r="I41" s="5"/>
      <c r="J41" s="5">
        <v>100</v>
      </c>
      <c r="K41" s="7">
        <v>1.1000000000000001</v>
      </c>
      <c r="L41" s="8">
        <f t="shared" si="1"/>
        <v>0.32300000000000006</v>
      </c>
      <c r="M41" s="11">
        <v>0.04</v>
      </c>
      <c r="N41" s="231">
        <f t="shared" si="2"/>
        <v>1.2920000000000003E-2</v>
      </c>
      <c r="O41" s="10">
        <f t="shared" si="3"/>
        <v>1.1745454545454547E-2</v>
      </c>
      <c r="P41" t="s">
        <v>20</v>
      </c>
    </row>
    <row r="42" spans="1:16" ht="24.95" customHeight="1">
      <c r="A42" s="5" t="s">
        <v>43</v>
      </c>
      <c r="B42" s="5">
        <v>30</v>
      </c>
      <c r="C42" s="6" t="s">
        <v>135</v>
      </c>
      <c r="D42" s="5" t="s">
        <v>48</v>
      </c>
      <c r="E42" s="5">
        <v>56</v>
      </c>
      <c r="F42" s="5">
        <v>63</v>
      </c>
      <c r="G42" s="5">
        <v>49</v>
      </c>
      <c r="H42" s="5"/>
      <c r="I42" s="5"/>
      <c r="J42" s="5">
        <v>120</v>
      </c>
      <c r="K42" s="7">
        <v>1.1200000000000001</v>
      </c>
      <c r="L42" s="8">
        <f t="shared" si="1"/>
        <v>0.75264000000000009</v>
      </c>
      <c r="M42" s="11">
        <v>1.6666666666666666E-2</v>
      </c>
      <c r="N42" s="231">
        <f t="shared" si="2"/>
        <v>1.2544000000000001E-2</v>
      </c>
      <c r="O42" s="10">
        <f t="shared" si="3"/>
        <v>1.12E-2</v>
      </c>
      <c r="P42" t="s">
        <v>23</v>
      </c>
    </row>
    <row r="43" spans="1:16" ht="24.95" customHeight="1">
      <c r="A43" s="5" t="s">
        <v>43</v>
      </c>
      <c r="B43" s="5">
        <v>31</v>
      </c>
      <c r="C43" s="6" t="s">
        <v>136</v>
      </c>
      <c r="D43" s="5" t="s">
        <v>57</v>
      </c>
      <c r="E43" s="5">
        <v>280</v>
      </c>
      <c r="F43" s="5"/>
      <c r="G43" s="5"/>
      <c r="H43" s="5"/>
      <c r="I43" s="5"/>
      <c r="J43" s="5">
        <v>100</v>
      </c>
      <c r="K43" s="7">
        <v>1.1200000000000001</v>
      </c>
      <c r="L43" s="8">
        <f t="shared" si="1"/>
        <v>3.1360000000000001</v>
      </c>
      <c r="M43" s="12">
        <v>7.1428571428571426E-3</v>
      </c>
      <c r="N43" s="231">
        <f t="shared" si="2"/>
        <v>2.24E-2</v>
      </c>
      <c r="O43" s="10">
        <f t="shared" si="3"/>
        <v>1.9999999999999997E-2</v>
      </c>
      <c r="P43" t="s">
        <v>23</v>
      </c>
    </row>
    <row r="44" spans="1:16" ht="24.95" customHeight="1">
      <c r="A44" s="5" t="s">
        <v>8</v>
      </c>
      <c r="B44" s="5">
        <v>32</v>
      </c>
      <c r="C44" s="6" t="s">
        <v>137</v>
      </c>
      <c r="D44" s="5" t="s">
        <v>48</v>
      </c>
      <c r="E44" s="5">
        <v>176</v>
      </c>
      <c r="F44" s="5">
        <v>187</v>
      </c>
      <c r="G44" s="5">
        <v>161</v>
      </c>
      <c r="H44" s="5"/>
      <c r="I44" s="5"/>
      <c r="J44" s="5">
        <v>115</v>
      </c>
      <c r="K44" s="7">
        <v>1.1200000000000001</v>
      </c>
      <c r="L44" s="8">
        <f t="shared" si="1"/>
        <v>2.249706666666667</v>
      </c>
      <c r="M44" s="12">
        <v>2.5000000000000001E-3</v>
      </c>
      <c r="N44" s="231">
        <f t="shared" si="2"/>
        <v>5.6242666666666673E-3</v>
      </c>
      <c r="O44" s="10">
        <f t="shared" si="3"/>
        <v>5.0216666666666665E-3</v>
      </c>
      <c r="P44" t="s">
        <v>23</v>
      </c>
    </row>
    <row r="45" spans="1:16" ht="24.95" customHeight="1">
      <c r="A45" s="5" t="s">
        <v>8</v>
      </c>
      <c r="B45" s="5">
        <v>33</v>
      </c>
      <c r="C45" s="6" t="s">
        <v>138</v>
      </c>
      <c r="D45" s="5" t="s">
        <v>48</v>
      </c>
      <c r="E45" s="5">
        <v>200</v>
      </c>
      <c r="F45" s="5"/>
      <c r="G45" s="5"/>
      <c r="H45" s="5"/>
      <c r="I45" s="5"/>
      <c r="J45" s="5">
        <v>90</v>
      </c>
      <c r="K45" s="7">
        <v>1.1200000000000001</v>
      </c>
      <c r="L45" s="8">
        <f t="shared" si="1"/>
        <v>2.0160000000000005</v>
      </c>
      <c r="M45" s="12">
        <v>2.5000000000000001E-3</v>
      </c>
      <c r="N45" s="231">
        <f t="shared" si="2"/>
        <v>5.0400000000000011E-3</v>
      </c>
      <c r="O45" s="10">
        <f t="shared" si="3"/>
        <v>4.5000000000000005E-3</v>
      </c>
      <c r="P45" t="s">
        <v>23</v>
      </c>
    </row>
    <row r="46" spans="1:16" ht="24.95" customHeight="1">
      <c r="A46" s="5" t="s">
        <v>8</v>
      </c>
      <c r="B46" s="5">
        <v>34</v>
      </c>
      <c r="C46" s="6" t="s">
        <v>139</v>
      </c>
      <c r="D46" s="5" t="s">
        <v>48</v>
      </c>
      <c r="E46" s="5">
        <v>200</v>
      </c>
      <c r="F46" s="5"/>
      <c r="G46" s="5"/>
      <c r="H46" s="5"/>
      <c r="I46" s="5"/>
      <c r="J46" s="5">
        <v>90</v>
      </c>
      <c r="K46" s="7">
        <v>1.1200000000000001</v>
      </c>
      <c r="L46" s="8">
        <f t="shared" si="1"/>
        <v>2.0160000000000005</v>
      </c>
      <c r="M46" s="12">
        <v>2.5000000000000001E-3</v>
      </c>
      <c r="N46" s="231">
        <f t="shared" si="2"/>
        <v>5.0400000000000011E-3</v>
      </c>
      <c r="O46" s="10">
        <f t="shared" si="3"/>
        <v>4.5000000000000005E-3</v>
      </c>
      <c r="P46" t="s">
        <v>23</v>
      </c>
    </row>
    <row r="47" spans="1:16" ht="24.95" customHeight="1">
      <c r="A47" s="5" t="s">
        <v>8</v>
      </c>
      <c r="B47" s="5">
        <v>35</v>
      </c>
      <c r="C47" s="6" t="s">
        <v>140</v>
      </c>
      <c r="D47" s="5" t="s">
        <v>57</v>
      </c>
      <c r="E47" s="5">
        <v>55</v>
      </c>
      <c r="F47" s="5"/>
      <c r="G47" s="5"/>
      <c r="H47" s="5"/>
      <c r="I47" s="5"/>
      <c r="J47" s="5">
        <v>100</v>
      </c>
      <c r="K47" s="7">
        <v>1.1200000000000001</v>
      </c>
      <c r="L47" s="8">
        <f t="shared" si="1"/>
        <v>0.6160000000000001</v>
      </c>
      <c r="M47" s="12">
        <v>2.5000000000000001E-3</v>
      </c>
      <c r="N47" s="231">
        <f t="shared" si="2"/>
        <v>1.5400000000000004E-3</v>
      </c>
      <c r="O47" s="10">
        <f t="shared" si="3"/>
        <v>1.3750000000000001E-3</v>
      </c>
      <c r="P47" t="s">
        <v>23</v>
      </c>
    </row>
    <row r="48" spans="1:16" ht="24.95" customHeight="1">
      <c r="A48" s="5" t="s">
        <v>8</v>
      </c>
      <c r="B48" s="5">
        <v>36</v>
      </c>
      <c r="C48" s="6" t="s">
        <v>141</v>
      </c>
      <c r="D48" s="5" t="s">
        <v>48</v>
      </c>
      <c r="E48" s="5">
        <v>176</v>
      </c>
      <c r="F48" s="5">
        <v>187</v>
      </c>
      <c r="G48" s="5">
        <v>161</v>
      </c>
      <c r="H48" s="5"/>
      <c r="I48" s="5"/>
      <c r="J48" s="5">
        <v>115</v>
      </c>
      <c r="K48" s="7">
        <v>1.1200000000000001</v>
      </c>
      <c r="L48" s="8">
        <f t="shared" si="1"/>
        <v>2.249706666666667</v>
      </c>
      <c r="M48" s="12">
        <v>2.5000000000000001E-3</v>
      </c>
      <c r="N48" s="231">
        <f t="shared" si="2"/>
        <v>5.6242666666666673E-3</v>
      </c>
      <c r="O48" s="10">
        <f t="shared" si="3"/>
        <v>5.0216666666666665E-3</v>
      </c>
      <c r="P48" t="s">
        <v>23</v>
      </c>
    </row>
    <row r="49" spans="1:16" ht="24.95" customHeight="1">
      <c r="A49" s="5" t="s">
        <v>8</v>
      </c>
      <c r="B49" s="5">
        <v>37</v>
      </c>
      <c r="C49" s="6" t="s">
        <v>142</v>
      </c>
      <c r="D49" s="5" t="s">
        <v>48</v>
      </c>
      <c r="E49" s="5">
        <v>140</v>
      </c>
      <c r="F49" s="5">
        <v>150</v>
      </c>
      <c r="G49" s="5"/>
      <c r="H49" s="5"/>
      <c r="I49" s="5"/>
      <c r="J49" s="5">
        <v>115</v>
      </c>
      <c r="K49" s="7">
        <v>1.1000000000000001</v>
      </c>
      <c r="L49" s="8">
        <f t="shared" si="1"/>
        <v>1.8342499999999999</v>
      </c>
      <c r="M49" s="12">
        <v>2.5000000000000001E-3</v>
      </c>
      <c r="N49" s="231">
        <f t="shared" si="2"/>
        <v>4.5856250000000003E-3</v>
      </c>
      <c r="O49" s="10">
        <f t="shared" si="3"/>
        <v>4.1687499999999997E-3</v>
      </c>
      <c r="P49" t="s">
        <v>23</v>
      </c>
    </row>
    <row r="50" spans="1:16" ht="24.95" customHeight="1">
      <c r="A50" s="5" t="s">
        <v>71</v>
      </c>
      <c r="B50" s="5">
        <v>39</v>
      </c>
      <c r="C50" s="6" t="s">
        <v>75</v>
      </c>
      <c r="D50" s="5" t="s">
        <v>57</v>
      </c>
      <c r="E50" s="5">
        <v>25</v>
      </c>
      <c r="F50" s="5">
        <v>25</v>
      </c>
      <c r="G50" s="5"/>
      <c r="H50" s="5"/>
      <c r="I50" s="5"/>
      <c r="J50" s="5">
        <v>80</v>
      </c>
      <c r="K50" s="7">
        <v>1.1000000000000001</v>
      </c>
      <c r="L50" s="8">
        <f t="shared" si="1"/>
        <v>0.22000000000000003</v>
      </c>
      <c r="M50" s="12">
        <v>5.208333333333333E-3</v>
      </c>
      <c r="N50" s="231">
        <f t="shared" si="2"/>
        <v>1.1458333333333333E-3</v>
      </c>
      <c r="O50" s="10">
        <f t="shared" si="3"/>
        <v>1.0416666666666667E-3</v>
      </c>
      <c r="P50" t="s">
        <v>23</v>
      </c>
    </row>
    <row r="51" spans="1:16" ht="24.95" customHeight="1">
      <c r="A51" s="5" t="s">
        <v>76</v>
      </c>
      <c r="B51" s="5">
        <v>40</v>
      </c>
      <c r="C51" s="6" t="s">
        <v>77</v>
      </c>
      <c r="D51" s="5" t="s">
        <v>57</v>
      </c>
      <c r="E51" s="167">
        <v>516.18181818181813</v>
      </c>
      <c r="F51" s="5"/>
      <c r="G51" s="5"/>
      <c r="H51" s="5"/>
      <c r="I51" s="5"/>
      <c r="J51" s="5">
        <v>100</v>
      </c>
      <c r="K51" s="7">
        <v>1.1000000000000001</v>
      </c>
      <c r="L51" s="8">
        <f t="shared" si="1"/>
        <v>5.6779999999999999</v>
      </c>
      <c r="M51" s="12">
        <v>2.6041666666666665E-3</v>
      </c>
      <c r="N51" s="231">
        <f t="shared" si="2"/>
        <v>1.4786458333333332E-2</v>
      </c>
      <c r="O51" s="10">
        <f t="shared" si="3"/>
        <v>1.3442234848484846E-2</v>
      </c>
      <c r="P51" t="s">
        <v>24</v>
      </c>
    </row>
    <row r="52" spans="1:16" ht="24.95" customHeight="1">
      <c r="A52" s="5" t="s">
        <v>8</v>
      </c>
      <c r="B52" s="5">
        <v>41</v>
      </c>
      <c r="C52" s="6" t="s">
        <v>78</v>
      </c>
      <c r="D52" s="5" t="s">
        <v>57</v>
      </c>
      <c r="E52" s="167">
        <v>593.45454545454538</v>
      </c>
      <c r="F52" s="5"/>
      <c r="G52" s="5"/>
      <c r="H52" s="5"/>
      <c r="I52" s="5"/>
      <c r="J52" s="5">
        <v>100</v>
      </c>
      <c r="K52" s="7">
        <v>1.1000000000000001</v>
      </c>
      <c r="L52" s="8">
        <f t="shared" si="1"/>
        <v>6.5279999999999996</v>
      </c>
      <c r="M52" s="12">
        <v>2.6041666666666665E-3</v>
      </c>
      <c r="N52" s="231">
        <f t="shared" si="2"/>
        <v>1.6999999999999998E-2</v>
      </c>
      <c r="O52" s="10">
        <f t="shared" si="3"/>
        <v>1.5454545454545452E-2</v>
      </c>
      <c r="P52" t="s">
        <v>24</v>
      </c>
    </row>
    <row r="53" spans="1:16" ht="24.95" customHeight="1">
      <c r="A53" s="5" t="s">
        <v>71</v>
      </c>
      <c r="B53" s="5">
        <v>42</v>
      </c>
      <c r="C53" s="6" t="s">
        <v>143</v>
      </c>
      <c r="D53" s="5" t="s">
        <v>57</v>
      </c>
      <c r="E53" s="5">
        <v>120</v>
      </c>
      <c r="F53" s="5"/>
      <c r="G53" s="5"/>
      <c r="H53" s="5"/>
      <c r="I53" s="5"/>
      <c r="J53" s="5">
        <v>100</v>
      </c>
      <c r="K53" s="7">
        <v>1.1000000000000001</v>
      </c>
      <c r="L53" s="8">
        <f t="shared" si="1"/>
        <v>1.32</v>
      </c>
      <c r="M53" s="12">
        <v>0.01</v>
      </c>
      <c r="N53" s="231">
        <f t="shared" si="2"/>
        <v>1.3200000000000002E-2</v>
      </c>
      <c r="O53" s="10">
        <f t="shared" si="3"/>
        <v>1.2E-2</v>
      </c>
      <c r="P53" t="s">
        <v>21</v>
      </c>
    </row>
    <row r="54" spans="1:16" ht="24.95" customHeight="1">
      <c r="A54" s="5" t="s">
        <v>71</v>
      </c>
      <c r="B54" s="5">
        <v>43</v>
      </c>
      <c r="C54" s="6" t="s">
        <v>81</v>
      </c>
      <c r="D54" s="5" t="s">
        <v>57</v>
      </c>
      <c r="E54" s="5">
        <v>50</v>
      </c>
      <c r="F54" s="5"/>
      <c r="G54" s="5"/>
      <c r="H54" s="5"/>
      <c r="I54" s="5"/>
      <c r="J54" s="5">
        <v>100</v>
      </c>
      <c r="K54" s="7">
        <v>1.1000000000000001</v>
      </c>
      <c r="L54" s="8">
        <f t="shared" si="1"/>
        <v>0.55000000000000004</v>
      </c>
      <c r="M54" s="12">
        <v>2.5000000000000001E-3</v>
      </c>
      <c r="N54" s="231">
        <f t="shared" si="2"/>
        <v>1.3750000000000001E-3</v>
      </c>
      <c r="O54" s="10">
        <f t="shared" si="3"/>
        <v>1.25E-3</v>
      </c>
      <c r="P54" t="s">
        <v>21</v>
      </c>
    </row>
    <row r="55" spans="1:16" ht="24.95" customHeight="1">
      <c r="A55" s="5" t="s">
        <v>71</v>
      </c>
      <c r="B55" s="5">
        <v>44</v>
      </c>
      <c r="C55" s="6" t="s">
        <v>144</v>
      </c>
      <c r="D55" s="5" t="s">
        <v>57</v>
      </c>
      <c r="E55" s="5">
        <v>150</v>
      </c>
      <c r="F55" s="5"/>
      <c r="G55" s="5"/>
      <c r="H55" s="5"/>
      <c r="I55" s="5"/>
      <c r="J55" s="5">
        <v>130</v>
      </c>
      <c r="K55" s="7">
        <v>1.1000000000000001</v>
      </c>
      <c r="L55" s="8">
        <f t="shared" si="1"/>
        <v>2.1450000000000005</v>
      </c>
      <c r="M55" s="12">
        <v>5.7142857142857143E-3</v>
      </c>
      <c r="N55" s="231">
        <f t="shared" si="2"/>
        <v>1.2257142857142861E-2</v>
      </c>
      <c r="O55" s="10">
        <f t="shared" si="3"/>
        <v>1.1142857142857145E-2</v>
      </c>
      <c r="P55" t="s">
        <v>21</v>
      </c>
    </row>
    <row r="56" spans="1:16" ht="24.95" customHeight="1">
      <c r="A56" s="5" t="s">
        <v>43</v>
      </c>
      <c r="B56" s="5">
        <v>45</v>
      </c>
      <c r="C56" s="6" t="s">
        <v>47</v>
      </c>
      <c r="D56" s="5" t="s">
        <v>48</v>
      </c>
      <c r="E56" s="5">
        <v>92</v>
      </c>
      <c r="F56" s="5"/>
      <c r="G56" s="5"/>
      <c r="H56" s="5"/>
      <c r="I56" s="5"/>
      <c r="J56" s="5">
        <v>100</v>
      </c>
      <c r="K56" s="7">
        <v>1.1000000000000001</v>
      </c>
      <c r="L56" s="8">
        <f t="shared" si="1"/>
        <v>1.0120000000000002</v>
      </c>
      <c r="M56" s="12">
        <v>2.5000000000000001E-3</v>
      </c>
      <c r="N56" s="231">
        <f t="shared" si="2"/>
        <v>2.5300000000000006E-3</v>
      </c>
      <c r="O56" s="10">
        <f t="shared" si="3"/>
        <v>2.3000000000000004E-3</v>
      </c>
      <c r="P56" t="s">
        <v>26</v>
      </c>
    </row>
    <row r="57" spans="1:16" ht="24.95" customHeight="1">
      <c r="A57" s="5" t="s">
        <v>43</v>
      </c>
      <c r="B57" s="5">
        <v>46</v>
      </c>
      <c r="C57" s="6" t="s">
        <v>108</v>
      </c>
      <c r="D57" s="5" t="s">
        <v>48</v>
      </c>
      <c r="E57" s="5">
        <v>930</v>
      </c>
      <c r="F57" s="5"/>
      <c r="G57" s="5"/>
      <c r="H57" s="5"/>
      <c r="I57" s="5"/>
      <c r="J57" s="5">
        <v>100</v>
      </c>
      <c r="K57" s="7">
        <v>1.1000000000000001</v>
      </c>
      <c r="L57" s="8">
        <f t="shared" si="1"/>
        <v>10.230000000000002</v>
      </c>
      <c r="M57" s="12">
        <v>2.5000000000000001E-3</v>
      </c>
      <c r="N57" s="231">
        <f t="shared" si="2"/>
        <v>2.5575000000000007E-2</v>
      </c>
      <c r="O57" s="10">
        <f t="shared" si="3"/>
        <v>2.3250000000000003E-2</v>
      </c>
      <c r="P57" t="s">
        <v>26</v>
      </c>
    </row>
    <row r="58" spans="1:16" ht="24.95" customHeight="1">
      <c r="A58" s="5" t="s">
        <v>43</v>
      </c>
      <c r="B58" s="5">
        <v>47</v>
      </c>
      <c r="C58" s="6" t="s">
        <v>109</v>
      </c>
      <c r="D58" s="5" t="s">
        <v>48</v>
      </c>
      <c r="E58" s="167">
        <v>678</v>
      </c>
      <c r="F58" s="5"/>
      <c r="G58" s="5"/>
      <c r="H58" s="5"/>
      <c r="I58" s="5"/>
      <c r="J58" s="5">
        <v>100</v>
      </c>
      <c r="K58" s="7">
        <v>1.1000000000000001</v>
      </c>
      <c r="L58" s="8">
        <f t="shared" si="1"/>
        <v>7.4580000000000011</v>
      </c>
      <c r="M58" s="12">
        <v>2.5000000000000001E-3</v>
      </c>
      <c r="N58" s="231">
        <f t="shared" si="2"/>
        <v>1.8645000000000002E-2</v>
      </c>
      <c r="O58" s="10">
        <f t="shared" si="3"/>
        <v>1.695E-2</v>
      </c>
      <c r="P58" t="s">
        <v>26</v>
      </c>
    </row>
    <row r="59" spans="1:16" ht="24.95" customHeight="1">
      <c r="A59" s="5" t="s">
        <v>43</v>
      </c>
      <c r="B59" s="5">
        <v>48</v>
      </c>
      <c r="C59" s="6" t="s">
        <v>51</v>
      </c>
      <c r="D59" s="5" t="s">
        <v>48</v>
      </c>
      <c r="E59" s="5">
        <v>70</v>
      </c>
      <c r="F59" s="5"/>
      <c r="G59" s="5"/>
      <c r="H59" s="5"/>
      <c r="I59" s="5"/>
      <c r="J59" s="5">
        <v>100</v>
      </c>
      <c r="K59" s="7">
        <v>1.1000000000000001</v>
      </c>
      <c r="L59" s="8">
        <f t="shared" si="1"/>
        <v>0.77</v>
      </c>
      <c r="M59" s="12">
        <v>2.5000000000000001E-3</v>
      </c>
      <c r="N59" s="231">
        <f t="shared" si="2"/>
        <v>1.9250000000000001E-3</v>
      </c>
      <c r="O59" s="10">
        <f t="shared" si="3"/>
        <v>1.7499999999999998E-3</v>
      </c>
      <c r="P59" t="s">
        <v>26</v>
      </c>
    </row>
    <row r="60" spans="1:16" ht="24.95" customHeight="1">
      <c r="A60" s="5" t="s">
        <v>43</v>
      </c>
      <c r="B60" s="5">
        <v>49</v>
      </c>
      <c r="C60" s="6" t="s">
        <v>52</v>
      </c>
      <c r="D60" s="5" t="s">
        <v>48</v>
      </c>
      <c r="E60" s="5">
        <v>250</v>
      </c>
      <c r="F60" s="5"/>
      <c r="G60" s="5"/>
      <c r="H60" s="5"/>
      <c r="I60" s="5"/>
      <c r="J60" s="5">
        <v>100</v>
      </c>
      <c r="K60" s="7">
        <v>1.1000000000000001</v>
      </c>
      <c r="L60" s="8">
        <f t="shared" si="1"/>
        <v>2.75</v>
      </c>
      <c r="M60" s="12">
        <v>2.5000000000000001E-3</v>
      </c>
      <c r="N60" s="231">
        <f t="shared" si="2"/>
        <v>6.875E-3</v>
      </c>
      <c r="O60" s="10">
        <f t="shared" si="3"/>
        <v>6.2499999999999995E-3</v>
      </c>
      <c r="P60" t="s">
        <v>26</v>
      </c>
    </row>
    <row r="61" spans="1:16" ht="24.95" customHeight="1">
      <c r="A61" s="5" t="s">
        <v>43</v>
      </c>
      <c r="B61" s="5">
        <v>50</v>
      </c>
      <c r="C61" s="6" t="s">
        <v>53</v>
      </c>
      <c r="D61" s="5" t="s">
        <v>48</v>
      </c>
      <c r="E61" s="167">
        <v>780</v>
      </c>
      <c r="F61" s="5"/>
      <c r="G61" s="5"/>
      <c r="H61" s="5"/>
      <c r="I61" s="5"/>
      <c r="J61" s="5">
        <v>100</v>
      </c>
      <c r="K61" s="7">
        <v>1.1000000000000001</v>
      </c>
      <c r="L61" s="8">
        <f t="shared" si="1"/>
        <v>8.58</v>
      </c>
      <c r="M61" s="12">
        <v>2.5000000000000001E-3</v>
      </c>
      <c r="N61" s="231">
        <f t="shared" si="2"/>
        <v>2.145E-2</v>
      </c>
      <c r="O61" s="10">
        <f t="shared" si="3"/>
        <v>1.95E-2</v>
      </c>
      <c r="P61" t="s">
        <v>26</v>
      </c>
    </row>
    <row r="62" spans="1:16" ht="24.95" customHeight="1">
      <c r="A62" s="5" t="s">
        <v>43</v>
      </c>
      <c r="B62" s="5">
        <v>51</v>
      </c>
      <c r="C62" s="6" t="s">
        <v>56</v>
      </c>
      <c r="D62" s="5" t="s">
        <v>57</v>
      </c>
      <c r="E62" s="167">
        <v>63.090909090909079</v>
      </c>
      <c r="F62" s="5"/>
      <c r="G62" s="5"/>
      <c r="H62" s="5"/>
      <c r="I62" s="5"/>
      <c r="J62" s="5">
        <v>100</v>
      </c>
      <c r="K62" s="7">
        <v>1.1000000000000001</v>
      </c>
      <c r="L62" s="8">
        <f t="shared" si="1"/>
        <v>0.69399999999999984</v>
      </c>
      <c r="M62" s="12">
        <v>2.5000000000000001E-3</v>
      </c>
      <c r="N62" s="231">
        <f t="shared" si="2"/>
        <v>1.7349999999999996E-3</v>
      </c>
      <c r="O62" s="10">
        <f t="shared" si="3"/>
        <v>1.5772727272727269E-3</v>
      </c>
      <c r="P62" t="s">
        <v>26</v>
      </c>
    </row>
    <row r="63" spans="1:16" ht="24.95" customHeight="1">
      <c r="A63" s="5" t="s">
        <v>71</v>
      </c>
      <c r="B63" s="5">
        <v>52</v>
      </c>
      <c r="C63" s="6" t="s">
        <v>145</v>
      </c>
      <c r="D63" s="5" t="s">
        <v>14</v>
      </c>
      <c r="E63" s="167">
        <v>230</v>
      </c>
      <c r="F63" s="5"/>
      <c r="G63" s="5"/>
      <c r="H63" s="5"/>
      <c r="I63" s="5"/>
      <c r="J63" s="5">
        <v>100</v>
      </c>
      <c r="K63" s="7">
        <v>1</v>
      </c>
      <c r="L63" s="8">
        <f t="shared" si="1"/>
        <v>2.2999999999999998</v>
      </c>
      <c r="M63" s="12">
        <v>2.5000000000000001E-3</v>
      </c>
      <c r="N63" s="231">
        <f t="shared" si="2"/>
        <v>5.7499999999999999E-3</v>
      </c>
      <c r="O63" s="10">
        <f t="shared" si="3"/>
        <v>5.7499999999999999E-3</v>
      </c>
      <c r="P63" t="s">
        <v>26</v>
      </c>
    </row>
    <row r="64" spans="1:16" ht="24.95" customHeight="1">
      <c r="A64" s="5" t="s">
        <v>8</v>
      </c>
      <c r="B64" s="5">
        <v>53</v>
      </c>
      <c r="C64" s="6" t="s">
        <v>82</v>
      </c>
      <c r="D64" s="5" t="s">
        <v>57</v>
      </c>
      <c r="E64" s="167">
        <v>80</v>
      </c>
      <c r="F64" s="5"/>
      <c r="G64" s="5"/>
      <c r="H64" s="5"/>
      <c r="I64" s="5"/>
      <c r="J64" s="5">
        <v>110</v>
      </c>
      <c r="K64" s="7">
        <v>1.1200000000000001</v>
      </c>
      <c r="L64" s="8">
        <f t="shared" si="1"/>
        <v>0.98560000000000025</v>
      </c>
      <c r="M64" s="12">
        <v>2.5000000000000001E-3</v>
      </c>
      <c r="N64" s="231">
        <f t="shared" si="2"/>
        <v>2.4640000000000005E-3</v>
      </c>
      <c r="O64" s="10">
        <f t="shared" si="3"/>
        <v>2.2000000000000001E-3</v>
      </c>
      <c r="P64" t="s">
        <v>25</v>
      </c>
    </row>
    <row r="65" spans="1:16" ht="24.95" customHeight="1">
      <c r="A65" s="5" t="s">
        <v>8</v>
      </c>
      <c r="B65" s="5">
        <v>54</v>
      </c>
      <c r="C65" s="6" t="s">
        <v>146</v>
      </c>
      <c r="D65" s="5" t="s">
        <v>57</v>
      </c>
      <c r="E65" s="5">
        <v>57.54545454545454</v>
      </c>
      <c r="F65" s="5"/>
      <c r="G65" s="5"/>
      <c r="H65" s="5"/>
      <c r="I65" s="5"/>
      <c r="J65" s="5">
        <v>100</v>
      </c>
      <c r="K65" s="7">
        <v>1.1000000000000001</v>
      </c>
      <c r="L65" s="8">
        <f t="shared" si="1"/>
        <v>0.63300000000000001</v>
      </c>
      <c r="M65" s="12">
        <v>2.5000000000000001E-3</v>
      </c>
      <c r="N65" s="231">
        <f t="shared" si="2"/>
        <v>1.5825000000000001E-3</v>
      </c>
      <c r="O65" s="10">
        <f t="shared" si="3"/>
        <v>1.4386363636363637E-3</v>
      </c>
      <c r="P65" t="s">
        <v>25</v>
      </c>
    </row>
    <row r="66" spans="1:16" ht="24.95" customHeight="1">
      <c r="A66" s="5" t="s">
        <v>8</v>
      </c>
      <c r="B66" s="5">
        <v>55</v>
      </c>
      <c r="C66" s="6" t="s">
        <v>147</v>
      </c>
      <c r="D66" s="5" t="s">
        <v>57</v>
      </c>
      <c r="E66" s="5">
        <v>72.545454545454547</v>
      </c>
      <c r="F66" s="5"/>
      <c r="G66" s="5"/>
      <c r="H66" s="5"/>
      <c r="I66" s="5"/>
      <c r="J66" s="5">
        <v>100</v>
      </c>
      <c r="K66" s="7">
        <v>1.1000000000000001</v>
      </c>
      <c r="L66" s="8">
        <f t="shared" si="1"/>
        <v>0.79800000000000004</v>
      </c>
      <c r="M66" s="12">
        <v>2.5000000000000001E-3</v>
      </c>
      <c r="N66" s="231">
        <f t="shared" si="2"/>
        <v>1.9950000000000002E-3</v>
      </c>
      <c r="O66" s="10">
        <f t="shared" si="3"/>
        <v>1.8136363636363636E-3</v>
      </c>
      <c r="P66" t="s">
        <v>25</v>
      </c>
    </row>
    <row r="67" spans="1:16" ht="24.95" customHeight="1">
      <c r="A67" s="5" t="s">
        <v>8</v>
      </c>
      <c r="B67" s="5">
        <v>56</v>
      </c>
      <c r="C67" s="194" t="s">
        <v>148</v>
      </c>
      <c r="D67" s="5" t="s">
        <v>57</v>
      </c>
      <c r="E67" s="167">
        <v>76.909090909090892</v>
      </c>
      <c r="F67" s="5"/>
      <c r="G67" s="5"/>
      <c r="H67" s="5"/>
      <c r="I67" s="5"/>
      <c r="J67" s="5">
        <v>100</v>
      </c>
      <c r="K67" s="7">
        <v>1.1000000000000001</v>
      </c>
      <c r="L67" s="8">
        <f t="shared" si="1"/>
        <v>0.84599999999999986</v>
      </c>
      <c r="M67" s="12">
        <v>2.5000000000000001E-3</v>
      </c>
      <c r="N67" s="231">
        <f t="shared" si="2"/>
        <v>2.1149999999999997E-3</v>
      </c>
      <c r="O67" s="10">
        <f t="shared" si="3"/>
        <v>1.9227272727272723E-3</v>
      </c>
      <c r="P67" t="s">
        <v>25</v>
      </c>
    </row>
    <row r="68" spans="1:16" ht="24.95" customHeight="1">
      <c r="A68" s="5" t="s">
        <v>58</v>
      </c>
      <c r="B68" s="5">
        <v>45</v>
      </c>
      <c r="C68" s="6" t="s">
        <v>86</v>
      </c>
      <c r="D68" s="5" t="s">
        <v>48</v>
      </c>
      <c r="E68" s="167">
        <v>0</v>
      </c>
      <c r="J68" s="234">
        <v>100</v>
      </c>
      <c r="K68" s="234">
        <v>1.1000000000000001</v>
      </c>
      <c r="L68" s="234">
        <v>10.230000000000002</v>
      </c>
      <c r="M68" s="235">
        <v>4.3478260869565219E-4</v>
      </c>
      <c r="N68" s="234">
        <v>1</v>
      </c>
      <c r="O68" s="234">
        <v>1</v>
      </c>
      <c r="P68" s="233" t="s">
        <v>26</v>
      </c>
    </row>
    <row r="69" spans="1:16" ht="24.95" customHeight="1"/>
    <row r="70" spans="1:16" ht="24.95" customHeight="1"/>
    <row r="71" spans="1:16" ht="24.95" customHeight="1"/>
    <row r="72" spans="1:16" ht="24.95" customHeight="1"/>
    <row r="73" spans="1:16" ht="24.95" customHeight="1"/>
    <row r="74" spans="1:16" ht="24.95" customHeight="1"/>
    <row r="75" spans="1:16" ht="24.95" customHeight="1"/>
    <row r="76" spans="1:16" ht="24.95" customHeight="1"/>
    <row r="77" spans="1:16" ht="24.95" customHeight="1"/>
    <row r="78" spans="1:16" ht="24.95" customHeight="1"/>
    <row r="79" spans="1:16" ht="24.95" customHeight="1"/>
    <row r="80" spans="1:16" ht="24.95" customHeight="1"/>
    <row r="81" ht="24.95" customHeight="1"/>
    <row r="82" ht="24.95" customHeight="1"/>
    <row r="83" ht="24.95" customHeight="1"/>
    <row r="84" ht="24.95" customHeight="1"/>
    <row r="85" ht="24.95" customHeight="1"/>
    <row r="86" ht="24.95" customHeight="1"/>
    <row r="87" ht="24.95" customHeight="1"/>
    <row r="88" ht="24.95" customHeight="1"/>
    <row r="89" ht="24.95" customHeight="1"/>
    <row r="90" ht="24.95" customHeight="1"/>
    <row r="91" ht="24.95" customHeight="1"/>
    <row r="92" ht="24.95" customHeight="1"/>
    <row r="93" ht="24.95" customHeight="1"/>
    <row r="94" ht="24.95" customHeight="1"/>
    <row r="95" ht="24.95" customHeight="1"/>
    <row r="96" ht="24.95" customHeight="1"/>
    <row r="97" ht="24.95" customHeight="1"/>
    <row r="98" ht="24.95" customHeight="1"/>
    <row r="99" ht="24.95" customHeight="1"/>
    <row r="100" ht="24.95" customHeight="1"/>
    <row r="101" ht="24.95" customHeight="1"/>
    <row r="102" ht="24.95" customHeight="1"/>
    <row r="103" ht="24.95" customHeight="1"/>
    <row r="104" ht="24.95" customHeight="1"/>
    <row r="105" ht="24.95" customHeight="1"/>
    <row r="106" ht="24.95" customHeight="1"/>
    <row r="107" ht="24.95" customHeight="1"/>
    <row r="108" ht="24.95" customHeight="1"/>
    <row r="109" ht="24.95" customHeight="1"/>
    <row r="110" ht="24.95" customHeight="1"/>
    <row r="111" ht="24.95" customHeight="1"/>
    <row r="112" ht="24.95" customHeight="1"/>
    <row r="113" ht="24.95" customHeight="1"/>
    <row r="114" ht="24.95" customHeight="1"/>
    <row r="115" ht="24.95" customHeight="1"/>
    <row r="116" ht="24.95" customHeight="1"/>
    <row r="117" ht="24.95" customHeight="1"/>
    <row r="118" ht="24.95" customHeight="1"/>
    <row r="119" ht="24.95" customHeight="1"/>
    <row r="120" ht="24.95" customHeight="1"/>
    <row r="121" ht="24.95" customHeight="1"/>
    <row r="122" ht="24.95" customHeight="1"/>
    <row r="123" ht="24.95" customHeight="1"/>
    <row r="124" ht="24.95" customHeight="1"/>
    <row r="125" ht="24.95" customHeight="1"/>
    <row r="126" ht="24.95" customHeight="1"/>
    <row r="127" ht="24.95" customHeight="1"/>
    <row r="128" ht="24.95" customHeight="1"/>
    <row r="129" ht="24.95" customHeight="1"/>
    <row r="130" ht="24.95" customHeight="1"/>
    <row r="131" ht="24.95" customHeight="1"/>
    <row r="132" ht="24.95" customHeight="1"/>
    <row r="133" ht="24.95" customHeight="1"/>
    <row r="134" ht="24.95" customHeight="1"/>
    <row r="135" ht="24.95" customHeight="1"/>
    <row r="136" ht="24.95" customHeight="1"/>
    <row r="137" ht="24.95" customHeight="1"/>
    <row r="138" ht="24.95" customHeight="1"/>
    <row r="139" ht="24.95" customHeight="1"/>
    <row r="140" ht="24.95" customHeight="1"/>
    <row r="141" ht="24.95" customHeight="1"/>
    <row r="142" ht="24.95" customHeight="1"/>
  </sheetData>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183F-3A17-41D9-B4FA-75E4FB47D584}">
  <dimension ref="A1:P127"/>
  <sheetViews>
    <sheetView zoomScale="70" zoomScaleNormal="70" workbookViewId="0">
      <selection activeCell="B2" sqref="B2"/>
    </sheetView>
  </sheetViews>
  <sheetFormatPr defaultColWidth="11.42578125" defaultRowHeight="15"/>
  <cols>
    <col min="1" max="1" width="19.140625" bestFit="1" customWidth="1"/>
    <col min="2" max="2" width="1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2.42578125" customWidth="1"/>
    <col min="16" max="16" width="18.7109375" bestFit="1" customWidth="1"/>
  </cols>
  <sheetData>
    <row r="1" spans="1:16" ht="24.95" customHeight="1" thickBot="1"/>
    <row r="2" spans="1:16" ht="24.95" customHeight="1" thickTop="1" thickBot="1">
      <c r="A2" s="123" t="s">
        <v>0</v>
      </c>
      <c r="B2" s="124" t="s">
        <v>149</v>
      </c>
      <c r="C2" s="242" t="s">
        <v>2</v>
      </c>
      <c r="D2" s="239" t="s">
        <v>3</v>
      </c>
      <c r="E2" s="240"/>
      <c r="F2" s="125">
        <f>SUMIF(D16:D91,"D",N16:N91)</f>
        <v>2.1118333333333332</v>
      </c>
      <c r="G2" s="239" t="s">
        <v>4</v>
      </c>
      <c r="H2" s="240"/>
      <c r="I2" s="180">
        <f>SUMIF(D16:D91,"D",O16:O91)/1.3</f>
        <v>1.6166666666666665</v>
      </c>
      <c r="J2" s="241" t="s">
        <v>5</v>
      </c>
      <c r="K2" s="240"/>
      <c r="L2" s="125">
        <f>480/I4</f>
        <v>88.615384615384627</v>
      </c>
      <c r="M2" s="239" t="s">
        <v>6</v>
      </c>
      <c r="N2" s="240"/>
      <c r="O2" s="126">
        <f>((F2+F3)/1.3-(I2+I3))*MIN(L2:L3)</f>
        <v>1.428104258080376</v>
      </c>
      <c r="P2" s="237" t="s">
        <v>7</v>
      </c>
    </row>
    <row r="3" spans="1:16" ht="24.95" customHeight="1" thickTop="1" thickBot="1">
      <c r="A3" s="123" t="s">
        <v>8</v>
      </c>
      <c r="B3" s="124" t="s">
        <v>150</v>
      </c>
      <c r="C3" s="243"/>
      <c r="D3" s="245" t="s">
        <v>10</v>
      </c>
      <c r="E3" s="246"/>
      <c r="F3" s="127">
        <f>SUMIF(D16:D91,"R",N16:N91)</f>
        <v>0.11732868261904762</v>
      </c>
      <c r="G3" s="245" t="s">
        <v>11</v>
      </c>
      <c r="H3" s="246"/>
      <c r="I3" s="181">
        <f>SUMIF(D16:D91,"R",O16:O91)/1.3</f>
        <v>8.1957585747585757E-2</v>
      </c>
      <c r="J3" s="247" t="s">
        <v>12</v>
      </c>
      <c r="K3" s="246"/>
      <c r="L3" s="127">
        <f>480/(F2/1.3+F3/1.3)/1.06</f>
        <v>264.08096005148968</v>
      </c>
      <c r="M3" s="245" t="s">
        <v>13</v>
      </c>
      <c r="N3" s="246"/>
      <c r="O3" s="128">
        <f>IF((480-L4)&lt;O2,L3,L2)</f>
        <v>88.615384615384627</v>
      </c>
      <c r="P3" s="238"/>
    </row>
    <row r="4" spans="1:16" ht="24.95" customHeight="1" thickTop="1" thickBot="1">
      <c r="A4" s="123" t="s">
        <v>14</v>
      </c>
      <c r="B4" s="170">
        <f>SUMIF(D16:D74,"MC",N16:N74)</f>
        <v>3.8</v>
      </c>
      <c r="C4" s="244"/>
      <c r="D4" s="239" t="s">
        <v>15</v>
      </c>
      <c r="E4" s="240"/>
      <c r="F4" s="125">
        <f>IF(1.1*(B4*1.08-F3/1.3)&lt;0,0,1.1*(B4*1.08-F3/1.3))</f>
        <v>4.4151218839377293</v>
      </c>
      <c r="G4" s="239" t="s">
        <v>16</v>
      </c>
      <c r="H4" s="240"/>
      <c r="I4" s="126">
        <f>IF(F4=0,(F2/1.3+F3/1.3)*1.06,B4+I2)</f>
        <v>5.4166666666666661</v>
      </c>
      <c r="J4" s="241" t="s">
        <v>17</v>
      </c>
      <c r="K4" s="240"/>
      <c r="L4" s="125">
        <f>(I2+I3)*MIN(L2:L3)*1.06</f>
        <v>159.55569593139168</v>
      </c>
      <c r="M4" s="239" t="s">
        <v>18</v>
      </c>
      <c r="N4" s="240"/>
      <c r="O4" s="129">
        <f>8*1.397*100/O3</f>
        <v>12.611805555555552</v>
      </c>
      <c r="P4" s="196">
        <v>45</v>
      </c>
    </row>
    <row r="5" spans="1:16" ht="0.2" customHeight="1" thickTop="1">
      <c r="A5" s="197"/>
      <c r="B5" s="210"/>
      <c r="C5" s="198"/>
      <c r="D5" s="199"/>
      <c r="E5" s="199"/>
      <c r="F5" s="200"/>
      <c r="G5" s="199"/>
      <c r="H5" s="199"/>
      <c r="I5" s="200"/>
      <c r="J5" s="199"/>
      <c r="K5" s="199"/>
      <c r="L5" s="200"/>
      <c r="M5" s="199"/>
      <c r="N5" s="199"/>
      <c r="O5" s="201"/>
    </row>
    <row r="6" spans="1:16" ht="0.2" customHeight="1">
      <c r="A6" s="197"/>
      <c r="B6" s="210"/>
      <c r="C6" s="203" t="s">
        <v>19</v>
      </c>
      <c r="D6" s="207">
        <f>SUMIFS($O$15:$O$99,$P$15:$P$99,C6)</f>
        <v>0</v>
      </c>
      <c r="E6" s="204">
        <f>+D6*$O$3</f>
        <v>0</v>
      </c>
      <c r="F6" s="200"/>
      <c r="G6" s="199"/>
      <c r="H6" s="199"/>
      <c r="I6" s="200"/>
      <c r="J6" s="199"/>
      <c r="K6" s="199"/>
      <c r="L6" s="200"/>
      <c r="M6" s="199"/>
      <c r="N6" s="199"/>
      <c r="O6" s="201"/>
    </row>
    <row r="7" spans="1:16" ht="0.2" customHeight="1">
      <c r="A7" s="197"/>
      <c r="B7" s="210"/>
      <c r="C7" s="187" t="s">
        <v>20</v>
      </c>
      <c r="D7" s="208">
        <f>SUMIFS($O$15:$O$99,$P$15:$P$99,C7)</f>
        <v>1.7905454545454547E-2</v>
      </c>
      <c r="E7" s="205">
        <f t="shared" ref="E7:E13" si="0">+D7*$O$3</f>
        <v>1.5866987412587417</v>
      </c>
      <c r="F7" s="200"/>
      <c r="G7" s="199"/>
      <c r="H7" s="199"/>
      <c r="I7" s="200"/>
      <c r="J7" s="199"/>
      <c r="K7" s="199"/>
      <c r="L7" s="200"/>
      <c r="M7" s="199"/>
      <c r="N7" s="199"/>
      <c r="O7" s="201"/>
    </row>
    <row r="8" spans="1:16" ht="0.2" customHeight="1">
      <c r="A8" s="197"/>
      <c r="B8" s="210"/>
      <c r="C8" s="187" t="s">
        <v>21</v>
      </c>
      <c r="D8" s="208">
        <f>SUMIFS($O$15:$O$99,$P$15:$P$99,C8)</f>
        <v>3.6492545454545458E-2</v>
      </c>
      <c r="E8" s="205">
        <f t="shared" si="0"/>
        <v>3.2338009510489516</v>
      </c>
      <c r="F8" s="200"/>
      <c r="G8" s="199"/>
      <c r="H8" s="199"/>
      <c r="I8" s="200"/>
      <c r="J8" s="199"/>
      <c r="K8" s="199"/>
      <c r="L8" s="200"/>
      <c r="M8" s="199"/>
      <c r="N8" s="199"/>
      <c r="O8" s="201"/>
    </row>
    <row r="9" spans="1:16" ht="0.2" customHeight="1">
      <c r="A9" s="197"/>
      <c r="B9" s="210"/>
      <c r="C9" s="187" t="s">
        <v>22</v>
      </c>
      <c r="D9" s="208">
        <f>SUMIFS($O$15:$O$99,$P$15:$P$99,C9)</f>
        <v>2.1083333333333332E-3</v>
      </c>
      <c r="E9" s="205">
        <f t="shared" si="0"/>
        <v>0.18683076923076924</v>
      </c>
      <c r="F9" s="200"/>
      <c r="G9" s="199"/>
      <c r="H9" s="199"/>
      <c r="I9" s="200"/>
      <c r="J9" s="199"/>
      <c r="K9" s="199"/>
      <c r="L9" s="200"/>
      <c r="M9" s="199"/>
      <c r="N9" s="199"/>
      <c r="O9" s="201"/>
    </row>
    <row r="10" spans="1:16" ht="0.2" customHeight="1">
      <c r="A10" s="197"/>
      <c r="B10" s="210"/>
      <c r="C10" s="187" t="s">
        <v>23</v>
      </c>
      <c r="D10" s="208">
        <f>SUMIFS($O$15:$O$99,$P$15:$P$99,C10)</f>
        <v>5.5E-2</v>
      </c>
      <c r="E10" s="205">
        <f>+D10*$O$3</f>
        <v>4.8738461538461548</v>
      </c>
      <c r="F10" s="200"/>
      <c r="G10" s="199"/>
      <c r="H10" s="199"/>
      <c r="I10" s="200"/>
      <c r="J10" s="199"/>
      <c r="K10" s="199"/>
      <c r="L10" s="200"/>
      <c r="M10" s="199"/>
      <c r="N10" s="199"/>
      <c r="O10" s="201"/>
    </row>
    <row r="11" spans="1:16" ht="0.2" customHeight="1">
      <c r="A11" s="197"/>
      <c r="B11" s="210"/>
      <c r="C11" s="187" t="s">
        <v>24</v>
      </c>
      <c r="D11" s="208">
        <f>SUMIFS($O$15:$O$99,$P$15:$P$99,C11)</f>
        <v>3.4237012987012982E-2</v>
      </c>
      <c r="E11" s="205">
        <f t="shared" si="0"/>
        <v>3.0339260739260738</v>
      </c>
      <c r="F11" s="200"/>
      <c r="G11" s="199"/>
      <c r="H11" s="199"/>
      <c r="I11" s="200"/>
      <c r="J11" s="199"/>
      <c r="K11" s="199"/>
      <c r="L11" s="200"/>
      <c r="M11" s="199"/>
      <c r="N11" s="199"/>
      <c r="O11" s="201"/>
    </row>
    <row r="12" spans="1:16" ht="0.2" customHeight="1">
      <c r="A12" s="197"/>
      <c r="B12" s="210"/>
      <c r="C12" s="187" t="s">
        <v>25</v>
      </c>
      <c r="D12" s="208">
        <f>SUMIFS($O$15:$O$99,$P$15:$P$99,C12)</f>
        <v>1.4749999999999999E-2</v>
      </c>
      <c r="E12" s="205">
        <f t="shared" si="0"/>
        <v>1.3070769230769232</v>
      </c>
      <c r="F12" s="200"/>
      <c r="G12" s="199"/>
      <c r="H12" s="199"/>
      <c r="I12" s="200"/>
      <c r="J12" s="199"/>
      <c r="K12" s="199"/>
      <c r="L12" s="200"/>
      <c r="M12" s="199"/>
      <c r="N12" s="199"/>
      <c r="O12" s="201"/>
    </row>
    <row r="13" spans="1:16" ht="0.2" customHeight="1" thickBot="1">
      <c r="A13" s="197"/>
      <c r="B13" s="210"/>
      <c r="C13" s="189" t="s">
        <v>26</v>
      </c>
      <c r="D13" s="209">
        <f>SUMIFS($O$15:$O$99,$P$15:$P$99,C13)</f>
        <v>2.0477181818181815</v>
      </c>
      <c r="E13" s="206">
        <f t="shared" si="0"/>
        <v>181.45933426573427</v>
      </c>
      <c r="F13" s="200"/>
      <c r="G13" s="199"/>
      <c r="H13" s="199"/>
      <c r="I13" s="200"/>
      <c r="J13" s="199"/>
      <c r="K13" s="199"/>
      <c r="L13" s="200"/>
      <c r="M13" s="199"/>
      <c r="N13" s="199"/>
      <c r="O13" s="201"/>
    </row>
    <row r="14" spans="1:16" ht="24.95" customHeight="1" thickTop="1"/>
    <row r="15" spans="1:16" ht="24.95" customHeight="1">
      <c r="A15" s="1" t="s">
        <v>27</v>
      </c>
      <c r="B15" s="1" t="s">
        <v>28</v>
      </c>
      <c r="C15" s="1" t="s">
        <v>29</v>
      </c>
      <c r="D15" s="2" t="s">
        <v>30</v>
      </c>
      <c r="E15" s="2" t="s">
        <v>31</v>
      </c>
      <c r="F15" s="2" t="s">
        <v>32</v>
      </c>
      <c r="G15" s="2" t="s">
        <v>33</v>
      </c>
      <c r="H15" s="2" t="s">
        <v>34</v>
      </c>
      <c r="I15" s="2" t="s">
        <v>35</v>
      </c>
      <c r="J15" s="2" t="s">
        <v>36</v>
      </c>
      <c r="K15" s="3" t="s">
        <v>37</v>
      </c>
      <c r="L15" s="4" t="s">
        <v>38</v>
      </c>
      <c r="M15" s="2" t="s">
        <v>39</v>
      </c>
      <c r="N15" s="4" t="s">
        <v>40</v>
      </c>
      <c r="O15" s="4" t="s">
        <v>41</v>
      </c>
      <c r="P15" s="2" t="s">
        <v>42</v>
      </c>
    </row>
    <row r="16" spans="1:16" ht="24.95" customHeight="1">
      <c r="A16" s="5" t="s">
        <v>43</v>
      </c>
      <c r="B16" s="5">
        <v>1</v>
      </c>
      <c r="C16" s="6" t="s">
        <v>44</v>
      </c>
      <c r="D16" s="5" t="s">
        <v>45</v>
      </c>
      <c r="E16" s="5">
        <v>120</v>
      </c>
      <c r="F16" s="5"/>
      <c r="G16" s="5"/>
      <c r="H16" s="5"/>
      <c r="I16" s="5"/>
      <c r="J16" s="5">
        <v>100</v>
      </c>
      <c r="K16" s="7">
        <v>1</v>
      </c>
      <c r="L16" s="166">
        <f t="shared" ref="L16:L51" si="1">(AVERAGEA(E16:I16)/100)*(J16/100)*(K16)</f>
        <v>1.2</v>
      </c>
      <c r="M16" s="9">
        <v>1</v>
      </c>
      <c r="N16" s="177">
        <f t="shared" ref="N16:N51" si="2">+L16*M16</f>
        <v>1.2</v>
      </c>
      <c r="O16" s="10">
        <f>+N16/K16</f>
        <v>1.2</v>
      </c>
      <c r="P16" t="s">
        <v>46</v>
      </c>
    </row>
    <row r="17" spans="1:16" ht="24.95" customHeight="1">
      <c r="A17" s="5" t="s">
        <v>43</v>
      </c>
      <c r="B17" s="5">
        <v>2</v>
      </c>
      <c r="C17" s="6" t="s">
        <v>151</v>
      </c>
      <c r="D17" s="5" t="s">
        <v>57</v>
      </c>
      <c r="E17" s="5">
        <v>15</v>
      </c>
      <c r="F17" s="5">
        <v>14</v>
      </c>
      <c r="G17" s="5">
        <v>14</v>
      </c>
      <c r="H17" s="5">
        <v>13</v>
      </c>
      <c r="I17" s="5">
        <v>14</v>
      </c>
      <c r="J17" s="5">
        <v>110</v>
      </c>
      <c r="K17" s="7">
        <v>1.1000000000000001</v>
      </c>
      <c r="L17" s="166">
        <f t="shared" si="1"/>
        <v>0.16940000000000005</v>
      </c>
      <c r="M17" s="11">
        <v>0.04</v>
      </c>
      <c r="N17" s="177">
        <f t="shared" si="2"/>
        <v>6.7760000000000025E-3</v>
      </c>
      <c r="O17" s="10">
        <f t="shared" ref="O17:O51" si="3">+N17/K17</f>
        <v>6.1600000000000014E-3</v>
      </c>
      <c r="P17" t="s">
        <v>20</v>
      </c>
    </row>
    <row r="18" spans="1:16" ht="24.95" customHeight="1">
      <c r="A18" s="5" t="s">
        <v>43</v>
      </c>
      <c r="B18" s="5">
        <v>3</v>
      </c>
      <c r="C18" s="6" t="s">
        <v>60</v>
      </c>
      <c r="D18" s="5" t="s">
        <v>57</v>
      </c>
      <c r="E18" s="5">
        <v>10</v>
      </c>
      <c r="F18" s="5">
        <v>12</v>
      </c>
      <c r="G18" s="5">
        <v>9</v>
      </c>
      <c r="H18" s="5">
        <v>9</v>
      </c>
      <c r="I18" s="5">
        <v>10</v>
      </c>
      <c r="J18" s="5">
        <v>110</v>
      </c>
      <c r="K18" s="7">
        <v>1.1000000000000001</v>
      </c>
      <c r="L18" s="166">
        <f t="shared" si="1"/>
        <v>0.12100000000000002</v>
      </c>
      <c r="M18" s="192">
        <v>5.0000000000000001E-3</v>
      </c>
      <c r="N18" s="177">
        <f t="shared" si="2"/>
        <v>6.0500000000000018E-4</v>
      </c>
      <c r="O18" s="10">
        <f t="shared" si="3"/>
        <v>5.5000000000000014E-4</v>
      </c>
      <c r="P18" t="s">
        <v>21</v>
      </c>
    </row>
    <row r="19" spans="1:16" ht="24.95" customHeight="1">
      <c r="A19" s="5" t="s">
        <v>43</v>
      </c>
      <c r="B19" s="5">
        <v>4</v>
      </c>
      <c r="C19" s="6" t="s">
        <v>152</v>
      </c>
      <c r="D19" s="5" t="s">
        <v>57</v>
      </c>
      <c r="E19" s="167">
        <v>15.727272727272723</v>
      </c>
      <c r="F19" s="5"/>
      <c r="G19" s="5"/>
      <c r="H19" s="5"/>
      <c r="I19" s="5"/>
      <c r="J19" s="5">
        <v>100</v>
      </c>
      <c r="K19" s="7">
        <v>1.1000000000000001</v>
      </c>
      <c r="L19" s="166">
        <f t="shared" si="1"/>
        <v>0.17299999999999996</v>
      </c>
      <c r="M19" s="192">
        <v>5.0000000000000001E-3</v>
      </c>
      <c r="N19" s="177">
        <f t="shared" si="2"/>
        <v>8.6499999999999978E-4</v>
      </c>
      <c r="O19" s="10">
        <f t="shared" si="3"/>
        <v>7.8636363636363615E-4</v>
      </c>
      <c r="P19" t="s">
        <v>21</v>
      </c>
    </row>
    <row r="20" spans="1:16" ht="24.95" customHeight="1">
      <c r="A20" s="5" t="s">
        <v>43</v>
      </c>
      <c r="B20" s="5">
        <v>5</v>
      </c>
      <c r="C20" s="6" t="s">
        <v>153</v>
      </c>
      <c r="D20" s="5" t="s">
        <v>57</v>
      </c>
      <c r="E20" s="5">
        <v>15.727272727272723</v>
      </c>
      <c r="F20" s="5"/>
      <c r="G20" s="5"/>
      <c r="H20" s="5"/>
      <c r="I20" s="5"/>
      <c r="J20" s="5">
        <v>100</v>
      </c>
      <c r="K20" s="7">
        <v>1.1000000000000001</v>
      </c>
      <c r="L20" s="166">
        <f t="shared" si="1"/>
        <v>0.17299999999999996</v>
      </c>
      <c r="M20" s="192">
        <v>5.0000000000000001E-3</v>
      </c>
      <c r="N20" s="177">
        <f t="shared" si="2"/>
        <v>8.6499999999999978E-4</v>
      </c>
      <c r="O20" s="10">
        <f t="shared" si="3"/>
        <v>7.8636363636363615E-4</v>
      </c>
      <c r="P20" t="s">
        <v>21</v>
      </c>
    </row>
    <row r="21" spans="1:16" ht="24.95" customHeight="1">
      <c r="A21" s="5" t="s">
        <v>43</v>
      </c>
      <c r="B21" s="5">
        <v>6</v>
      </c>
      <c r="C21" s="6" t="s">
        <v>154</v>
      </c>
      <c r="D21" s="5" t="s">
        <v>57</v>
      </c>
      <c r="E21" s="5">
        <v>13</v>
      </c>
      <c r="F21" s="5">
        <v>12</v>
      </c>
      <c r="G21" s="5">
        <v>11</v>
      </c>
      <c r="H21" s="5">
        <v>14</v>
      </c>
      <c r="I21" s="5">
        <v>11</v>
      </c>
      <c r="J21" s="5">
        <v>115</v>
      </c>
      <c r="K21" s="7">
        <v>1.1100000000000001</v>
      </c>
      <c r="L21" s="166">
        <f t="shared" si="1"/>
        <v>0.15573299999999998</v>
      </c>
      <c r="M21" s="192">
        <v>5.0000000000000001E-3</v>
      </c>
      <c r="N21" s="177">
        <f t="shared" si="2"/>
        <v>7.7866499999999989E-4</v>
      </c>
      <c r="O21" s="10">
        <f t="shared" si="3"/>
        <v>7.0149999999999987E-4</v>
      </c>
      <c r="P21" t="s">
        <v>21</v>
      </c>
    </row>
    <row r="22" spans="1:16" ht="24.95" customHeight="1">
      <c r="A22" s="5" t="s">
        <v>43</v>
      </c>
      <c r="B22" s="5">
        <v>7</v>
      </c>
      <c r="C22" s="6" t="s">
        <v>155</v>
      </c>
      <c r="D22" s="5" t="s">
        <v>57</v>
      </c>
      <c r="E22" s="5">
        <v>25</v>
      </c>
      <c r="F22" s="5">
        <v>26</v>
      </c>
      <c r="G22" s="5">
        <v>24</v>
      </c>
      <c r="H22" s="5">
        <v>27</v>
      </c>
      <c r="I22" s="5">
        <v>25</v>
      </c>
      <c r="J22" s="5">
        <v>115</v>
      </c>
      <c r="K22" s="7">
        <v>1.1000000000000001</v>
      </c>
      <c r="L22" s="166">
        <f t="shared" si="1"/>
        <v>0.32130999999999998</v>
      </c>
      <c r="M22" s="192">
        <v>5.0000000000000001E-3</v>
      </c>
      <c r="N22" s="177">
        <f t="shared" si="2"/>
        <v>1.60655E-3</v>
      </c>
      <c r="O22" s="10">
        <f t="shared" si="3"/>
        <v>1.4604999999999998E-3</v>
      </c>
      <c r="P22" t="s">
        <v>21</v>
      </c>
    </row>
    <row r="23" spans="1:16" ht="24.95" customHeight="1">
      <c r="A23" s="5" t="s">
        <v>43</v>
      </c>
      <c r="B23" s="5">
        <v>8</v>
      </c>
      <c r="C23" s="6" t="s">
        <v>47</v>
      </c>
      <c r="D23" s="5" t="s">
        <v>48</v>
      </c>
      <c r="E23" s="5">
        <v>92</v>
      </c>
      <c r="F23" s="5"/>
      <c r="G23" s="5"/>
      <c r="H23" s="5"/>
      <c r="I23" s="5"/>
      <c r="J23" s="5">
        <v>100</v>
      </c>
      <c r="K23" s="7">
        <v>1.1000000000000001</v>
      </c>
      <c r="L23" s="166">
        <f t="shared" si="1"/>
        <v>1.0120000000000002</v>
      </c>
      <c r="M23" s="12">
        <v>1.6666666666666668E-3</v>
      </c>
      <c r="N23" s="177">
        <f t="shared" si="2"/>
        <v>1.6866666666666673E-3</v>
      </c>
      <c r="O23" s="10">
        <f t="shared" si="3"/>
        <v>1.5333333333333338E-3</v>
      </c>
      <c r="P23" t="s">
        <v>26</v>
      </c>
    </row>
    <row r="24" spans="1:16" ht="24.95" customHeight="1">
      <c r="A24" s="5" t="s">
        <v>43</v>
      </c>
      <c r="B24" s="5">
        <v>9</v>
      </c>
      <c r="C24" s="6" t="s">
        <v>108</v>
      </c>
      <c r="D24" s="5" t="s">
        <v>48</v>
      </c>
      <c r="E24" s="5">
        <v>930</v>
      </c>
      <c r="F24" s="5"/>
      <c r="G24" s="5"/>
      <c r="H24" s="5"/>
      <c r="I24" s="5"/>
      <c r="J24" s="5">
        <v>100</v>
      </c>
      <c r="K24" s="7">
        <v>1.1000000000000001</v>
      </c>
      <c r="L24" s="166">
        <f t="shared" si="1"/>
        <v>10.230000000000002</v>
      </c>
      <c r="M24" s="12">
        <v>1.6666666666666668E-3</v>
      </c>
      <c r="N24" s="177">
        <f t="shared" si="2"/>
        <v>1.7050000000000006E-2</v>
      </c>
      <c r="O24" s="10">
        <f t="shared" si="3"/>
        <v>1.5500000000000005E-2</v>
      </c>
      <c r="P24" t="s">
        <v>26</v>
      </c>
    </row>
    <row r="25" spans="1:16" ht="24.95" customHeight="1">
      <c r="A25" s="5" t="s">
        <v>43</v>
      </c>
      <c r="B25" s="5">
        <v>10</v>
      </c>
      <c r="C25" s="6" t="s">
        <v>109</v>
      </c>
      <c r="D25" s="5" t="s">
        <v>48</v>
      </c>
      <c r="E25" s="5">
        <v>678</v>
      </c>
      <c r="F25" s="5"/>
      <c r="G25" s="5"/>
      <c r="H25" s="5"/>
      <c r="I25" s="5"/>
      <c r="J25" s="5">
        <v>100</v>
      </c>
      <c r="K25" s="7">
        <v>1.1000000000000001</v>
      </c>
      <c r="L25" s="166">
        <f t="shared" si="1"/>
        <v>7.4580000000000011</v>
      </c>
      <c r="M25" s="12">
        <v>1.6666666666666668E-3</v>
      </c>
      <c r="N25" s="177">
        <f t="shared" si="2"/>
        <v>1.2430000000000002E-2</v>
      </c>
      <c r="O25" s="10">
        <f t="shared" si="3"/>
        <v>1.1300000000000001E-2</v>
      </c>
      <c r="P25" t="s">
        <v>26</v>
      </c>
    </row>
    <row r="26" spans="1:16" ht="24.95" customHeight="1">
      <c r="A26" s="5" t="s">
        <v>43</v>
      </c>
      <c r="B26" s="5">
        <v>11</v>
      </c>
      <c r="C26" s="6" t="s">
        <v>51</v>
      </c>
      <c r="D26" s="5" t="s">
        <v>48</v>
      </c>
      <c r="E26" s="5">
        <v>70</v>
      </c>
      <c r="F26" s="5"/>
      <c r="G26" s="5"/>
      <c r="H26" s="5"/>
      <c r="I26" s="5"/>
      <c r="J26" s="5">
        <v>100</v>
      </c>
      <c r="K26" s="7">
        <v>1.1000000000000001</v>
      </c>
      <c r="L26" s="166">
        <f t="shared" si="1"/>
        <v>0.77</v>
      </c>
      <c r="M26" s="12">
        <v>1.6666666666666668E-3</v>
      </c>
      <c r="N26" s="177">
        <f t="shared" si="2"/>
        <v>1.2833333333333334E-3</v>
      </c>
      <c r="O26" s="10">
        <f t="shared" si="3"/>
        <v>1.1666666666666665E-3</v>
      </c>
      <c r="P26" t="s">
        <v>26</v>
      </c>
    </row>
    <row r="27" spans="1:16" ht="24.95" customHeight="1">
      <c r="A27" s="5" t="s">
        <v>43</v>
      </c>
      <c r="B27" s="5">
        <v>12</v>
      </c>
      <c r="C27" s="6" t="s">
        <v>52</v>
      </c>
      <c r="D27" s="5" t="s">
        <v>48</v>
      </c>
      <c r="E27" s="5">
        <v>250</v>
      </c>
      <c r="F27" s="5"/>
      <c r="G27" s="5"/>
      <c r="H27" s="5"/>
      <c r="I27" s="5"/>
      <c r="J27" s="5">
        <v>100</v>
      </c>
      <c r="K27" s="7">
        <v>1.1000000000000001</v>
      </c>
      <c r="L27" s="166">
        <f t="shared" si="1"/>
        <v>2.75</v>
      </c>
      <c r="M27" s="12">
        <v>1.6666666666666668E-3</v>
      </c>
      <c r="N27" s="177">
        <f t="shared" si="2"/>
        <v>4.5833333333333334E-3</v>
      </c>
      <c r="O27" s="10">
        <f t="shared" si="3"/>
        <v>4.1666666666666666E-3</v>
      </c>
      <c r="P27" t="s">
        <v>26</v>
      </c>
    </row>
    <row r="28" spans="1:16" ht="24.95" customHeight="1">
      <c r="A28" s="5" t="s">
        <v>43</v>
      </c>
      <c r="B28" s="5">
        <v>13</v>
      </c>
      <c r="C28" s="6" t="s">
        <v>53</v>
      </c>
      <c r="D28" s="5" t="s">
        <v>48</v>
      </c>
      <c r="E28" s="5">
        <v>780</v>
      </c>
      <c r="F28" s="5"/>
      <c r="G28" s="5"/>
      <c r="H28" s="5"/>
      <c r="I28" s="5"/>
      <c r="J28" s="5">
        <v>100</v>
      </c>
      <c r="K28" s="7">
        <v>1.1000000000000001</v>
      </c>
      <c r="L28" s="166">
        <f t="shared" si="1"/>
        <v>8.58</v>
      </c>
      <c r="M28" s="12">
        <v>1.6666666666666668E-3</v>
      </c>
      <c r="N28" s="177">
        <f t="shared" si="2"/>
        <v>1.43E-2</v>
      </c>
      <c r="O28" s="10">
        <f t="shared" si="3"/>
        <v>1.2999999999999999E-2</v>
      </c>
      <c r="P28" t="s">
        <v>26</v>
      </c>
    </row>
    <row r="29" spans="1:16" ht="24.95" customHeight="1">
      <c r="A29" s="5" t="s">
        <v>43</v>
      </c>
      <c r="B29" s="5">
        <v>14</v>
      </c>
      <c r="C29" s="6" t="s">
        <v>56</v>
      </c>
      <c r="D29" s="5" t="s">
        <v>57</v>
      </c>
      <c r="E29" s="5">
        <v>63.090909090909079</v>
      </c>
      <c r="F29" s="5"/>
      <c r="G29" s="5"/>
      <c r="H29" s="5"/>
      <c r="I29" s="5"/>
      <c r="J29" s="5">
        <v>100</v>
      </c>
      <c r="K29" s="7">
        <v>1.1000000000000001</v>
      </c>
      <c r="L29" s="166">
        <f t="shared" si="1"/>
        <v>0.69399999999999984</v>
      </c>
      <c r="M29" s="12">
        <v>1.6666666666666668E-3</v>
      </c>
      <c r="N29" s="177">
        <f t="shared" si="2"/>
        <v>1.1566666666666665E-3</v>
      </c>
      <c r="O29" s="10">
        <f t="shared" si="3"/>
        <v>1.0515151515151514E-3</v>
      </c>
      <c r="P29" t="s">
        <v>26</v>
      </c>
    </row>
    <row r="30" spans="1:16" ht="24.95" customHeight="1">
      <c r="A30" s="5" t="s">
        <v>58</v>
      </c>
      <c r="B30" s="5">
        <v>15</v>
      </c>
      <c r="C30" s="6" t="s">
        <v>59</v>
      </c>
      <c r="D30" s="5" t="s">
        <v>14</v>
      </c>
      <c r="E30" s="5">
        <v>190</v>
      </c>
      <c r="F30" s="5"/>
      <c r="G30" s="5"/>
      <c r="H30" s="5"/>
      <c r="I30" s="5"/>
      <c r="J30" s="5">
        <v>100</v>
      </c>
      <c r="K30" s="7">
        <v>1</v>
      </c>
      <c r="L30" s="166">
        <f t="shared" si="1"/>
        <v>1.9</v>
      </c>
      <c r="M30" s="12">
        <v>1</v>
      </c>
      <c r="N30" s="177">
        <f t="shared" si="2"/>
        <v>1.9</v>
      </c>
      <c r="O30" s="10">
        <f t="shared" si="3"/>
        <v>1.9</v>
      </c>
      <c r="P30" t="s">
        <v>46</v>
      </c>
    </row>
    <row r="31" spans="1:16" ht="24.95" customHeight="1">
      <c r="A31" s="5" t="s">
        <v>58</v>
      </c>
      <c r="B31" s="5">
        <v>16</v>
      </c>
      <c r="C31" s="6" t="s">
        <v>60</v>
      </c>
      <c r="D31" s="5" t="s">
        <v>57</v>
      </c>
      <c r="E31" s="5">
        <v>10</v>
      </c>
      <c r="F31" s="5">
        <v>12</v>
      </c>
      <c r="G31" s="5">
        <v>9</v>
      </c>
      <c r="H31" s="5">
        <v>9</v>
      </c>
      <c r="I31" s="5">
        <v>10</v>
      </c>
      <c r="J31" s="5">
        <v>110</v>
      </c>
      <c r="K31" s="7">
        <v>1.1000000000000001</v>
      </c>
      <c r="L31" s="166">
        <f t="shared" si="1"/>
        <v>0.12100000000000002</v>
      </c>
      <c r="M31" s="12">
        <v>0.01</v>
      </c>
      <c r="N31" s="177">
        <f t="shared" si="2"/>
        <v>1.2100000000000004E-3</v>
      </c>
      <c r="O31" s="10">
        <f t="shared" si="3"/>
        <v>1.1000000000000003E-3</v>
      </c>
      <c r="P31" t="s">
        <v>21</v>
      </c>
    </row>
    <row r="32" spans="1:16" ht="24.95" customHeight="1">
      <c r="A32" s="5" t="s">
        <v>58</v>
      </c>
      <c r="B32" s="5">
        <v>17</v>
      </c>
      <c r="C32" s="6" t="s">
        <v>156</v>
      </c>
      <c r="D32" s="5" t="s">
        <v>57</v>
      </c>
      <c r="E32" s="5">
        <v>16.90909090909091</v>
      </c>
      <c r="F32" s="5"/>
      <c r="G32" s="5"/>
      <c r="H32" s="5"/>
      <c r="I32" s="5"/>
      <c r="J32" s="5">
        <v>100</v>
      </c>
      <c r="K32" s="7">
        <v>1.1000000000000001</v>
      </c>
      <c r="L32" s="166">
        <f t="shared" si="1"/>
        <v>0.18600000000000003</v>
      </c>
      <c r="M32" s="12">
        <v>0.01</v>
      </c>
      <c r="N32" s="177">
        <f t="shared" si="2"/>
        <v>1.8600000000000003E-3</v>
      </c>
      <c r="O32" s="10">
        <f t="shared" si="3"/>
        <v>1.690909090909091E-3</v>
      </c>
      <c r="P32" t="s">
        <v>21</v>
      </c>
    </row>
    <row r="33" spans="1:16" ht="24.95" customHeight="1">
      <c r="A33" s="5" t="s">
        <v>98</v>
      </c>
      <c r="B33" s="5">
        <v>18</v>
      </c>
      <c r="C33" s="6" t="s">
        <v>157</v>
      </c>
      <c r="D33" s="5" t="s">
        <v>45</v>
      </c>
      <c r="E33" s="5">
        <v>80</v>
      </c>
      <c r="F33" s="5"/>
      <c r="G33" s="5"/>
      <c r="H33" s="5"/>
      <c r="I33" s="5"/>
      <c r="J33" s="5">
        <v>100</v>
      </c>
      <c r="K33" s="7">
        <v>1</v>
      </c>
      <c r="L33" s="166">
        <f t="shared" si="1"/>
        <v>0.8</v>
      </c>
      <c r="M33" s="12">
        <v>1</v>
      </c>
      <c r="N33" s="178">
        <f t="shared" si="2"/>
        <v>0.8</v>
      </c>
      <c r="O33" s="10">
        <f t="shared" si="3"/>
        <v>0.8</v>
      </c>
      <c r="P33" t="s">
        <v>46</v>
      </c>
    </row>
    <row r="34" spans="1:16" ht="24.95" customHeight="1">
      <c r="A34" s="5" t="s">
        <v>126</v>
      </c>
      <c r="B34" s="5">
        <v>19</v>
      </c>
      <c r="C34" s="6" t="s">
        <v>158</v>
      </c>
      <c r="D34" s="5" t="s">
        <v>45</v>
      </c>
      <c r="E34" s="5">
        <v>55</v>
      </c>
      <c r="F34" s="5"/>
      <c r="G34" s="5"/>
      <c r="H34" s="5"/>
      <c r="I34" s="5"/>
      <c r="J34" s="5">
        <v>100</v>
      </c>
      <c r="K34" s="7">
        <v>1</v>
      </c>
      <c r="L34" s="166">
        <f t="shared" si="1"/>
        <v>0.55000000000000004</v>
      </c>
      <c r="M34" s="12">
        <v>1</v>
      </c>
      <c r="N34" s="178">
        <f t="shared" si="2"/>
        <v>0.55000000000000004</v>
      </c>
      <c r="O34" s="10">
        <f t="shared" si="3"/>
        <v>0.55000000000000004</v>
      </c>
      <c r="P34" t="s">
        <v>46</v>
      </c>
    </row>
    <row r="35" spans="1:16" ht="24.95" customHeight="1">
      <c r="A35" s="5" t="s">
        <v>126</v>
      </c>
      <c r="B35" s="5">
        <v>20</v>
      </c>
      <c r="C35" s="6" t="s">
        <v>60</v>
      </c>
      <c r="D35" s="5" t="s">
        <v>57</v>
      </c>
      <c r="E35" s="5">
        <v>10</v>
      </c>
      <c r="F35" s="5">
        <v>12</v>
      </c>
      <c r="G35" s="5">
        <v>9</v>
      </c>
      <c r="H35" s="5">
        <v>9</v>
      </c>
      <c r="I35" s="5">
        <v>10</v>
      </c>
      <c r="J35" s="5">
        <v>110</v>
      </c>
      <c r="K35" s="7">
        <v>1.1000000000000001</v>
      </c>
      <c r="L35" s="166">
        <f t="shared" si="1"/>
        <v>0.12100000000000002</v>
      </c>
      <c r="M35" s="12">
        <v>0.01</v>
      </c>
      <c r="N35" s="178">
        <f t="shared" si="2"/>
        <v>1.2100000000000004E-3</v>
      </c>
      <c r="O35" s="10">
        <f t="shared" si="3"/>
        <v>1.1000000000000003E-3</v>
      </c>
      <c r="P35" t="s">
        <v>21</v>
      </c>
    </row>
    <row r="36" spans="1:16" ht="24.95" customHeight="1">
      <c r="A36" s="5" t="s">
        <v>126</v>
      </c>
      <c r="B36" s="5">
        <v>21</v>
      </c>
      <c r="C36" s="6" t="s">
        <v>159</v>
      </c>
      <c r="D36" s="5" t="s">
        <v>57</v>
      </c>
      <c r="E36" s="5">
        <v>30</v>
      </c>
      <c r="F36" s="5">
        <v>27</v>
      </c>
      <c r="G36" s="5">
        <v>34</v>
      </c>
      <c r="H36" s="5">
        <v>41</v>
      </c>
      <c r="I36" s="5">
        <v>24</v>
      </c>
      <c r="J36" s="5">
        <v>110</v>
      </c>
      <c r="K36" s="7">
        <v>1.1100000000000001</v>
      </c>
      <c r="L36" s="166">
        <f t="shared" si="1"/>
        <v>0.38095200000000001</v>
      </c>
      <c r="M36" s="12">
        <v>0.01</v>
      </c>
      <c r="N36" s="178">
        <f t="shared" si="2"/>
        <v>3.8095200000000003E-3</v>
      </c>
      <c r="O36" s="10">
        <f t="shared" si="3"/>
        <v>3.4320000000000002E-3</v>
      </c>
      <c r="P36" t="s">
        <v>21</v>
      </c>
    </row>
    <row r="37" spans="1:16" ht="24.95" customHeight="1">
      <c r="A37" s="5" t="s">
        <v>126</v>
      </c>
      <c r="B37" s="5">
        <v>22</v>
      </c>
      <c r="C37" s="6" t="s">
        <v>160</v>
      </c>
      <c r="D37" s="5" t="s">
        <v>57</v>
      </c>
      <c r="E37" s="5">
        <v>10.363636363636363</v>
      </c>
      <c r="F37" s="5"/>
      <c r="G37" s="5"/>
      <c r="H37" s="5"/>
      <c r="I37" s="5"/>
      <c r="J37" s="5">
        <v>100</v>
      </c>
      <c r="K37" s="7">
        <v>1.1000000000000001</v>
      </c>
      <c r="L37" s="166">
        <f t="shared" si="1"/>
        <v>0.114</v>
      </c>
      <c r="M37" s="12">
        <v>0.01</v>
      </c>
      <c r="N37" s="177">
        <f t="shared" si="2"/>
        <v>1.1400000000000002E-3</v>
      </c>
      <c r="O37" s="10">
        <f t="shared" si="3"/>
        <v>1.0363636363636365E-3</v>
      </c>
      <c r="P37" t="s">
        <v>21</v>
      </c>
    </row>
    <row r="38" spans="1:16" ht="24.95" customHeight="1">
      <c r="A38" s="5" t="s">
        <v>126</v>
      </c>
      <c r="B38" s="5">
        <v>23</v>
      </c>
      <c r="C38" s="6" t="s">
        <v>161</v>
      </c>
      <c r="D38" s="5" t="s">
        <v>57</v>
      </c>
      <c r="E38" s="5">
        <v>12.181818181818182</v>
      </c>
      <c r="F38" s="5"/>
      <c r="G38" s="5"/>
      <c r="H38" s="5"/>
      <c r="I38" s="5"/>
      <c r="J38" s="5">
        <v>100</v>
      </c>
      <c r="K38" s="7">
        <v>1.1000000000000001</v>
      </c>
      <c r="L38" s="166">
        <f t="shared" si="1"/>
        <v>0.13400000000000001</v>
      </c>
      <c r="M38" s="12">
        <v>0.01</v>
      </c>
      <c r="N38" s="177">
        <f t="shared" si="2"/>
        <v>1.34E-3</v>
      </c>
      <c r="O38" s="10">
        <f t="shared" si="3"/>
        <v>1.2181818181818181E-3</v>
      </c>
      <c r="P38" t="s">
        <v>21</v>
      </c>
    </row>
    <row r="39" spans="1:16" ht="24.95" customHeight="1">
      <c r="A39" s="5" t="s">
        <v>126</v>
      </c>
      <c r="B39" s="5">
        <v>24</v>
      </c>
      <c r="C39" s="6" t="s">
        <v>162</v>
      </c>
      <c r="D39" s="5" t="s">
        <v>57</v>
      </c>
      <c r="E39" s="5">
        <v>10.363636363636363</v>
      </c>
      <c r="F39" s="5"/>
      <c r="G39" s="5"/>
      <c r="H39" s="5"/>
      <c r="I39" s="5"/>
      <c r="J39" s="5">
        <v>100</v>
      </c>
      <c r="K39" s="7">
        <v>1.1000000000000001</v>
      </c>
      <c r="L39" s="166">
        <f t="shared" si="1"/>
        <v>0.114</v>
      </c>
      <c r="M39" s="12">
        <v>0.01</v>
      </c>
      <c r="N39" s="177">
        <f t="shared" si="2"/>
        <v>1.1400000000000002E-3</v>
      </c>
      <c r="O39" s="10">
        <f t="shared" si="3"/>
        <v>1.0363636363636365E-3</v>
      </c>
      <c r="P39" t="s">
        <v>21</v>
      </c>
    </row>
    <row r="40" spans="1:16" ht="24.95" customHeight="1">
      <c r="A40" s="5" t="s">
        <v>126</v>
      </c>
      <c r="B40" s="5">
        <v>25</v>
      </c>
      <c r="C40" s="6" t="s">
        <v>163</v>
      </c>
      <c r="D40" s="5" t="s">
        <v>57</v>
      </c>
      <c r="E40" s="5">
        <v>5</v>
      </c>
      <c r="F40" s="5">
        <v>6</v>
      </c>
      <c r="G40" s="5">
        <v>5</v>
      </c>
      <c r="H40" s="5">
        <v>6</v>
      </c>
      <c r="I40" s="5">
        <v>5</v>
      </c>
      <c r="J40" s="5">
        <v>110</v>
      </c>
      <c r="K40" s="7">
        <v>1.1000000000000001</v>
      </c>
      <c r="L40" s="166">
        <f t="shared" si="1"/>
        <v>6.5340000000000009E-2</v>
      </c>
      <c r="M40" s="12">
        <v>0.01</v>
      </c>
      <c r="N40" s="177">
        <f t="shared" si="2"/>
        <v>6.5340000000000005E-4</v>
      </c>
      <c r="O40" s="10">
        <f t="shared" si="3"/>
        <v>5.9400000000000002E-4</v>
      </c>
      <c r="P40" t="s">
        <v>21</v>
      </c>
    </row>
    <row r="41" spans="1:16" ht="24.95" customHeight="1">
      <c r="A41" s="5" t="s">
        <v>8</v>
      </c>
      <c r="B41" s="5">
        <v>26</v>
      </c>
      <c r="C41" s="6" t="s">
        <v>164</v>
      </c>
      <c r="D41" s="5" t="s">
        <v>57</v>
      </c>
      <c r="E41" s="5">
        <v>12</v>
      </c>
      <c r="F41" s="5">
        <v>10</v>
      </c>
      <c r="G41" s="5"/>
      <c r="H41" s="5"/>
      <c r="I41" s="5"/>
      <c r="J41" s="5">
        <v>115</v>
      </c>
      <c r="K41" s="7">
        <v>1.1000000000000001</v>
      </c>
      <c r="L41" s="166">
        <f t="shared" si="1"/>
        <v>0.13915000000000002</v>
      </c>
      <c r="M41" s="11">
        <v>1.6666666666666666E-2</v>
      </c>
      <c r="N41" s="177">
        <f t="shared" si="2"/>
        <v>2.3191666666666669E-3</v>
      </c>
      <c r="O41" s="10">
        <f t="shared" si="3"/>
        <v>2.1083333333333332E-3</v>
      </c>
      <c r="P41" t="s">
        <v>22</v>
      </c>
    </row>
    <row r="42" spans="1:16" ht="24.95" customHeight="1">
      <c r="A42" s="5" t="s">
        <v>71</v>
      </c>
      <c r="B42" s="5">
        <v>27</v>
      </c>
      <c r="C42" s="6" t="s">
        <v>72</v>
      </c>
      <c r="D42" s="5" t="s">
        <v>57</v>
      </c>
      <c r="E42" s="5">
        <v>29.363636363636367</v>
      </c>
      <c r="F42" s="5"/>
      <c r="G42" s="5"/>
      <c r="H42" s="5"/>
      <c r="I42" s="5"/>
      <c r="J42" s="5">
        <v>100</v>
      </c>
      <c r="K42" s="7">
        <v>1.1000000000000001</v>
      </c>
      <c r="L42" s="166">
        <f t="shared" si="1"/>
        <v>0.32300000000000006</v>
      </c>
      <c r="M42" s="11">
        <v>0.04</v>
      </c>
      <c r="N42" s="177">
        <f t="shared" si="2"/>
        <v>1.2920000000000003E-2</v>
      </c>
      <c r="O42" s="10">
        <f t="shared" si="3"/>
        <v>1.1745454545454547E-2</v>
      </c>
      <c r="P42" t="s">
        <v>20</v>
      </c>
    </row>
    <row r="43" spans="1:16" ht="24.95" customHeight="1">
      <c r="A43" s="5" t="s">
        <v>8</v>
      </c>
      <c r="B43" s="5">
        <v>28</v>
      </c>
      <c r="C43" s="6" t="s">
        <v>165</v>
      </c>
      <c r="D43" s="5" t="s">
        <v>48</v>
      </c>
      <c r="E43" s="5">
        <v>1000</v>
      </c>
      <c r="F43" s="5"/>
      <c r="G43" s="5"/>
      <c r="H43" s="5"/>
      <c r="I43" s="5"/>
      <c r="J43" s="5">
        <v>110</v>
      </c>
      <c r="K43" s="7">
        <v>1.1000000000000001</v>
      </c>
      <c r="L43" s="166">
        <f t="shared" si="1"/>
        <v>12.100000000000001</v>
      </c>
      <c r="M43" s="12">
        <v>5.0000000000000001E-3</v>
      </c>
      <c r="N43" s="177">
        <f t="shared" si="2"/>
        <v>6.0500000000000005E-2</v>
      </c>
      <c r="O43" s="10">
        <f t="shared" si="3"/>
        <v>5.5E-2</v>
      </c>
      <c r="P43" t="s">
        <v>23</v>
      </c>
    </row>
    <row r="44" spans="1:16" ht="24.95" customHeight="1">
      <c r="A44" s="5" t="s">
        <v>71</v>
      </c>
      <c r="B44" s="5">
        <v>29</v>
      </c>
      <c r="C44" s="6" t="s">
        <v>75</v>
      </c>
      <c r="D44" s="5" t="s">
        <v>57</v>
      </c>
      <c r="E44" s="5">
        <v>25</v>
      </c>
      <c r="F44" s="5">
        <v>25</v>
      </c>
      <c r="G44" s="5"/>
      <c r="H44" s="5"/>
      <c r="I44" s="5"/>
      <c r="J44" s="5">
        <v>80</v>
      </c>
      <c r="K44" s="7">
        <v>1.1000000000000001</v>
      </c>
      <c r="L44" s="166">
        <f t="shared" si="1"/>
        <v>0.22000000000000003</v>
      </c>
      <c r="M44" s="12">
        <v>6.0606060606060606E-3</v>
      </c>
      <c r="N44" s="177">
        <f t="shared" si="2"/>
        <v>1.3333333333333335E-3</v>
      </c>
      <c r="O44" s="10">
        <f t="shared" si="3"/>
        <v>1.2121212121212121E-3</v>
      </c>
      <c r="P44" t="s">
        <v>24</v>
      </c>
    </row>
    <row r="45" spans="1:16" ht="24.95" customHeight="1">
      <c r="A45" s="5" t="s">
        <v>76</v>
      </c>
      <c r="B45" s="5">
        <v>30</v>
      </c>
      <c r="C45" s="6" t="s">
        <v>77</v>
      </c>
      <c r="D45" s="5" t="s">
        <v>57</v>
      </c>
      <c r="E45" s="5">
        <v>516.18181818181813</v>
      </c>
      <c r="F45" s="5"/>
      <c r="G45" s="5"/>
      <c r="H45" s="5"/>
      <c r="I45" s="5"/>
      <c r="J45" s="5">
        <v>100</v>
      </c>
      <c r="K45" s="7">
        <v>1.1000000000000001</v>
      </c>
      <c r="L45" s="166">
        <f t="shared" si="1"/>
        <v>5.6779999999999999</v>
      </c>
      <c r="M45" s="12">
        <v>2.976190476190476E-3</v>
      </c>
      <c r="N45" s="177">
        <f t="shared" si="2"/>
        <v>1.6898809523809524E-2</v>
      </c>
      <c r="O45" s="10">
        <f t="shared" si="3"/>
        <v>1.5362554112554112E-2</v>
      </c>
      <c r="P45" t="s">
        <v>24</v>
      </c>
    </row>
    <row r="46" spans="1:16" ht="24.95" customHeight="1">
      <c r="A46" s="5" t="s">
        <v>8</v>
      </c>
      <c r="B46" s="5">
        <v>31</v>
      </c>
      <c r="C46" s="6" t="s">
        <v>78</v>
      </c>
      <c r="D46" s="5" t="s">
        <v>57</v>
      </c>
      <c r="E46" s="5">
        <v>593.45454545454538</v>
      </c>
      <c r="F46" s="5"/>
      <c r="G46" s="5"/>
      <c r="H46" s="5"/>
      <c r="I46" s="5"/>
      <c r="J46" s="5">
        <v>100</v>
      </c>
      <c r="K46" s="7">
        <v>1.1000000000000001</v>
      </c>
      <c r="L46" s="166">
        <f t="shared" si="1"/>
        <v>6.5279999999999996</v>
      </c>
      <c r="M46" s="12">
        <v>2.976190476190476E-3</v>
      </c>
      <c r="N46" s="177">
        <f t="shared" si="2"/>
        <v>1.9428571428571427E-2</v>
      </c>
      <c r="O46" s="10">
        <f t="shared" si="3"/>
        <v>1.7662337662337661E-2</v>
      </c>
      <c r="P46" t="s">
        <v>24</v>
      </c>
    </row>
    <row r="47" spans="1:16" ht="24.95" customHeight="1">
      <c r="A47" s="5" t="s">
        <v>71</v>
      </c>
      <c r="B47" s="5">
        <v>32</v>
      </c>
      <c r="C47" s="6" t="s">
        <v>166</v>
      </c>
      <c r="D47" s="5" t="s">
        <v>57</v>
      </c>
      <c r="E47" s="5">
        <v>210</v>
      </c>
      <c r="F47" s="5"/>
      <c r="G47" s="5"/>
      <c r="H47" s="5"/>
      <c r="I47" s="5"/>
      <c r="J47" s="5">
        <v>100</v>
      </c>
      <c r="K47" s="7">
        <v>1.1000000000000001</v>
      </c>
      <c r="L47" s="166">
        <f t="shared" si="1"/>
        <v>2.3100000000000005</v>
      </c>
      <c r="M47" s="12">
        <v>0.01</v>
      </c>
      <c r="N47" s="177">
        <f t="shared" si="2"/>
        <v>2.3100000000000006E-2</v>
      </c>
      <c r="O47" s="10">
        <f t="shared" si="3"/>
        <v>2.1000000000000005E-2</v>
      </c>
      <c r="P47" t="s">
        <v>21</v>
      </c>
    </row>
    <row r="48" spans="1:16" ht="24.95" customHeight="1">
      <c r="A48" s="5" t="s">
        <v>8</v>
      </c>
      <c r="B48" s="5">
        <v>33</v>
      </c>
      <c r="C48" s="6" t="s">
        <v>82</v>
      </c>
      <c r="D48" s="5" t="s">
        <v>57</v>
      </c>
      <c r="E48" s="5">
        <v>80</v>
      </c>
      <c r="F48" s="5"/>
      <c r="G48" s="5"/>
      <c r="H48" s="5"/>
      <c r="I48" s="5"/>
      <c r="J48" s="5">
        <v>110</v>
      </c>
      <c r="K48" s="7">
        <v>1.1200000000000001</v>
      </c>
      <c r="L48" s="166">
        <f t="shared" si="1"/>
        <v>0.98560000000000025</v>
      </c>
      <c r="M48" s="12">
        <v>5.0000000000000001E-3</v>
      </c>
      <c r="N48" s="177">
        <f t="shared" si="2"/>
        <v>4.928000000000001E-3</v>
      </c>
      <c r="O48" s="10">
        <f t="shared" si="3"/>
        <v>4.4000000000000003E-3</v>
      </c>
      <c r="P48" t="s">
        <v>25</v>
      </c>
    </row>
    <row r="49" spans="1:16" ht="24.95" customHeight="1">
      <c r="A49" s="5" t="s">
        <v>8</v>
      </c>
      <c r="B49" s="5">
        <v>34</v>
      </c>
      <c r="C49" s="6" t="s">
        <v>146</v>
      </c>
      <c r="D49" s="5" t="s">
        <v>57</v>
      </c>
      <c r="E49" s="5">
        <v>57.54545454545454</v>
      </c>
      <c r="F49" s="5"/>
      <c r="G49" s="5"/>
      <c r="H49" s="5"/>
      <c r="I49" s="5"/>
      <c r="J49" s="5">
        <v>100</v>
      </c>
      <c r="K49" s="7">
        <v>1.1000000000000001</v>
      </c>
      <c r="L49" s="166">
        <f t="shared" si="1"/>
        <v>0.63300000000000001</v>
      </c>
      <c r="M49" s="12">
        <v>5.0000000000000001E-3</v>
      </c>
      <c r="N49" s="177">
        <f t="shared" si="2"/>
        <v>3.1650000000000003E-3</v>
      </c>
      <c r="O49" s="10">
        <f t="shared" si="3"/>
        <v>2.8772727272727274E-3</v>
      </c>
      <c r="P49" t="s">
        <v>25</v>
      </c>
    </row>
    <row r="50" spans="1:16" ht="24.95" customHeight="1">
      <c r="A50" s="5" t="s">
        <v>8</v>
      </c>
      <c r="B50" s="5">
        <v>35</v>
      </c>
      <c r="C50" s="6" t="s">
        <v>147</v>
      </c>
      <c r="D50" s="5" t="s">
        <v>57</v>
      </c>
      <c r="E50" s="5">
        <v>72.545454545454547</v>
      </c>
      <c r="F50" s="5"/>
      <c r="G50" s="5"/>
      <c r="H50" s="5"/>
      <c r="I50" s="5"/>
      <c r="J50" s="5">
        <v>100</v>
      </c>
      <c r="K50" s="7">
        <v>1.1000000000000001</v>
      </c>
      <c r="L50" s="166">
        <f t="shared" si="1"/>
        <v>0.79800000000000004</v>
      </c>
      <c r="M50" s="12">
        <v>5.0000000000000001E-3</v>
      </c>
      <c r="N50" s="177">
        <f t="shared" si="2"/>
        <v>3.9900000000000005E-3</v>
      </c>
      <c r="O50" s="10">
        <f t="shared" si="3"/>
        <v>3.6272727272727272E-3</v>
      </c>
      <c r="P50" t="s">
        <v>25</v>
      </c>
    </row>
    <row r="51" spans="1:16" ht="24.95" customHeight="1">
      <c r="A51" s="5" t="s">
        <v>8</v>
      </c>
      <c r="B51" s="5">
        <v>36</v>
      </c>
      <c r="C51" s="6" t="s">
        <v>148</v>
      </c>
      <c r="D51" s="5" t="s">
        <v>57</v>
      </c>
      <c r="E51" s="5">
        <v>76.909090909090892</v>
      </c>
      <c r="F51" s="5"/>
      <c r="G51" s="5"/>
      <c r="H51" s="5"/>
      <c r="I51" s="5"/>
      <c r="J51" s="5">
        <v>100</v>
      </c>
      <c r="K51" s="7">
        <v>1.1000000000000001</v>
      </c>
      <c r="L51" s="166">
        <f t="shared" si="1"/>
        <v>0.84599999999999986</v>
      </c>
      <c r="M51" s="12">
        <v>5.0000000000000001E-3</v>
      </c>
      <c r="N51" s="177">
        <f t="shared" si="2"/>
        <v>4.2299999999999994E-3</v>
      </c>
      <c r="O51" s="10">
        <f t="shared" si="3"/>
        <v>3.8454545454545447E-3</v>
      </c>
      <c r="P51" t="s">
        <v>25</v>
      </c>
    </row>
    <row r="52" spans="1:16" ht="24.95" customHeight="1">
      <c r="A52" s="5" t="s">
        <v>8</v>
      </c>
      <c r="B52" s="5">
        <v>37</v>
      </c>
      <c r="C52" s="6" t="s">
        <v>167</v>
      </c>
      <c r="D52" s="5" t="s">
        <v>14</v>
      </c>
      <c r="E52" s="5">
        <v>190</v>
      </c>
      <c r="F52" s="5"/>
      <c r="G52" s="5"/>
      <c r="H52" s="5"/>
      <c r="I52" s="5"/>
      <c r="J52" s="5">
        <v>100</v>
      </c>
      <c r="K52" s="7">
        <v>1</v>
      </c>
      <c r="L52" s="166">
        <f t="shared" ref="L52" si="4">(AVERAGEA(E52:I52)/100)*(J52/100)*(K52)</f>
        <v>1.9</v>
      </c>
      <c r="M52" s="12">
        <v>1</v>
      </c>
      <c r="N52" s="177">
        <f t="shared" ref="N52" si="5">+L52*M52</f>
        <v>1.9</v>
      </c>
      <c r="O52" s="10">
        <f t="shared" ref="O52" si="6">+N52/K52</f>
        <v>1.9</v>
      </c>
      <c r="P52" t="s">
        <v>46</v>
      </c>
    </row>
    <row r="53" spans="1:16" ht="24.95" customHeight="1">
      <c r="A53" s="5" t="s">
        <v>58</v>
      </c>
      <c r="B53" s="5">
        <v>40</v>
      </c>
      <c r="C53" s="6" t="s">
        <v>86</v>
      </c>
      <c r="D53" s="5" t="s">
        <v>48</v>
      </c>
      <c r="E53" s="167">
        <v>0</v>
      </c>
      <c r="J53" s="234">
        <v>100</v>
      </c>
      <c r="K53" s="234">
        <v>1.1000000000000001</v>
      </c>
      <c r="L53" s="234">
        <v>10.230000000000002</v>
      </c>
      <c r="M53" s="235">
        <v>7.407407407407407E-4</v>
      </c>
      <c r="N53" s="234">
        <v>1</v>
      </c>
      <c r="O53" s="234">
        <v>1</v>
      </c>
      <c r="P53" s="233" t="s">
        <v>26</v>
      </c>
    </row>
    <row r="54" spans="1:16" ht="24.95" customHeight="1">
      <c r="A54" s="5" t="s">
        <v>64</v>
      </c>
      <c r="B54" s="5">
        <v>41</v>
      </c>
      <c r="C54" s="6" t="s">
        <v>87</v>
      </c>
      <c r="D54" s="5" t="s">
        <v>48</v>
      </c>
      <c r="E54" s="167">
        <v>0</v>
      </c>
      <c r="J54" s="234">
        <v>100</v>
      </c>
      <c r="K54" s="234">
        <v>1.1000000000000001</v>
      </c>
      <c r="L54" s="234">
        <v>10.230000000000002</v>
      </c>
      <c r="M54" s="236">
        <v>1.3333333333333334E-4</v>
      </c>
      <c r="N54" s="234">
        <v>1</v>
      </c>
      <c r="O54" s="234">
        <v>1</v>
      </c>
      <c r="P54" s="233" t="s">
        <v>26</v>
      </c>
    </row>
    <row r="55" spans="1:16" ht="24.95" customHeight="1"/>
    <row r="56" spans="1:16" ht="24.95" customHeight="1"/>
    <row r="57" spans="1:16" ht="24.95" customHeight="1"/>
    <row r="58" spans="1:16" ht="24.95" customHeight="1"/>
    <row r="59" spans="1:16" ht="24.95" customHeight="1"/>
    <row r="60" spans="1:16" ht="24.95" customHeight="1"/>
    <row r="61" spans="1:16" ht="24.95" customHeight="1"/>
    <row r="62" spans="1:16" ht="24.95" customHeight="1"/>
    <row r="63" spans="1:16" ht="24.95" customHeight="1"/>
    <row r="64" spans="1:16"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row r="75" ht="24.95" customHeight="1"/>
    <row r="76" ht="24.95" customHeight="1"/>
    <row r="77" ht="24.95" customHeight="1"/>
    <row r="78" ht="24.95" customHeight="1"/>
    <row r="79" ht="24.95" customHeight="1"/>
    <row r="80" ht="24.95" customHeight="1"/>
    <row r="81" ht="24.95" customHeight="1"/>
    <row r="82" ht="24.95" customHeight="1"/>
    <row r="83" ht="24.95" customHeight="1"/>
    <row r="84" ht="24.95" customHeight="1"/>
    <row r="85" ht="24.95" customHeight="1"/>
    <row r="86" ht="24.95" customHeight="1"/>
    <row r="87" ht="24.95" customHeight="1"/>
    <row r="88" ht="24.95" customHeight="1"/>
    <row r="89" ht="24.95" customHeight="1"/>
    <row r="90" ht="24.95" customHeight="1"/>
    <row r="91" ht="24.95" customHeight="1"/>
    <row r="92" ht="24.95" customHeight="1"/>
    <row r="93" ht="24.95" customHeight="1"/>
    <row r="94" ht="24.95" customHeight="1"/>
    <row r="95" ht="24.95" customHeight="1"/>
    <row r="96" ht="24.95" customHeight="1"/>
    <row r="97" ht="24.95" customHeight="1"/>
    <row r="98" ht="24.95" customHeight="1"/>
    <row r="99" ht="24.95" customHeight="1"/>
    <row r="100" ht="24.95" customHeight="1"/>
    <row r="101" ht="24.95" customHeight="1"/>
    <row r="102" ht="24.95" customHeight="1"/>
    <row r="103" ht="24.95" customHeight="1"/>
    <row r="104" ht="24.95" customHeight="1"/>
    <row r="105" ht="24.95" customHeight="1"/>
    <row r="106" ht="24.95" customHeight="1"/>
    <row r="107" ht="24.95" customHeight="1"/>
    <row r="108" ht="24.95" customHeight="1"/>
    <row r="109" ht="24.95" customHeight="1"/>
    <row r="110" ht="24.95" customHeight="1"/>
    <row r="111" ht="24.95" customHeight="1"/>
    <row r="112" ht="24.95" customHeight="1"/>
    <row r="113" ht="24.95" customHeight="1"/>
    <row r="114" ht="24.95" customHeight="1"/>
    <row r="115" ht="24.95" customHeight="1"/>
    <row r="116" ht="24.95" customHeight="1"/>
    <row r="117" ht="24.95" customHeight="1"/>
    <row r="118" ht="24.95" customHeight="1"/>
    <row r="119" ht="24.95" customHeight="1"/>
    <row r="120" ht="24.95" customHeight="1"/>
    <row r="121" ht="24.95" customHeight="1"/>
    <row r="122" ht="24.95" customHeight="1"/>
    <row r="123" ht="24.95" customHeight="1"/>
    <row r="124" ht="24.95" customHeight="1"/>
    <row r="125" ht="24.95" customHeight="1"/>
    <row r="126" ht="24.95" customHeight="1"/>
    <row r="127" ht="24.95" customHeight="1"/>
  </sheetData>
  <autoFilter ref="A15:P51" xr:uid="{F37A183F-3A17-41D9-B4FA-75E4FB47D584}"/>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F4A6E-A133-4A25-9984-36623C406819}">
  <dimension ref="A1:P302"/>
  <sheetViews>
    <sheetView showGridLines="0" topLeftCell="A3" zoomScaleNormal="100" workbookViewId="0">
      <selection activeCell="P16" sqref="P16"/>
    </sheetView>
  </sheetViews>
  <sheetFormatPr defaultColWidth="11.42578125" defaultRowHeight="15"/>
  <cols>
    <col min="1" max="1" width="18.42578125" customWidth="1"/>
    <col min="2" max="4" width="15.7109375" customWidth="1"/>
    <col min="5" max="5" width="17.42578125" customWidth="1"/>
    <col min="6" max="15" width="15.7109375" customWidth="1"/>
    <col min="16" max="16" width="24.28515625" customWidth="1"/>
    <col min="17" max="21" width="15.7109375" customWidth="1"/>
  </cols>
  <sheetData>
    <row r="1" spans="1:16" ht="54" customHeight="1" thickTop="1" thickBot="1">
      <c r="A1" s="248" t="s">
        <v>168</v>
      </c>
      <c r="B1" s="249"/>
      <c r="C1" s="249"/>
      <c r="D1" s="249"/>
      <c r="E1" s="249"/>
      <c r="F1" s="249"/>
      <c r="G1" s="249"/>
      <c r="H1" s="249"/>
      <c r="I1" s="249"/>
      <c r="J1" s="249"/>
      <c r="K1" s="249"/>
      <c r="L1" s="249"/>
      <c r="M1" s="249"/>
      <c r="N1" s="249"/>
      <c r="O1" s="249"/>
      <c r="P1" s="250"/>
    </row>
    <row r="2" spans="1:16" ht="36.75" customHeight="1" thickTop="1" thickBot="1">
      <c r="A2" s="130" t="s">
        <v>169</v>
      </c>
      <c r="B2" s="131" t="str">
        <f>+'R120638-A'!B2</f>
        <v>R120638</v>
      </c>
      <c r="C2" s="132" t="s">
        <v>170</v>
      </c>
      <c r="D2" s="131" t="str">
        <f>+'R120638-A'!B3</f>
        <v>142A</v>
      </c>
      <c r="E2" s="130" t="s">
        <v>171</v>
      </c>
      <c r="F2" s="131" t="str">
        <f>+'R120636-B'!B2</f>
        <v>R120636</v>
      </c>
      <c r="G2" s="132" t="s">
        <v>172</v>
      </c>
      <c r="H2" s="133" t="str">
        <f>+'R120636-B'!B3</f>
        <v>142B</v>
      </c>
      <c r="I2" s="130" t="s">
        <v>173</v>
      </c>
      <c r="J2" s="131" t="str">
        <f>+'R544000-C'!B2</f>
        <v>R544000</v>
      </c>
      <c r="K2" s="132" t="s">
        <v>174</v>
      </c>
      <c r="L2" s="133" t="str">
        <f>+'R544000-C'!B3</f>
        <v>142C</v>
      </c>
      <c r="M2" s="130" t="s">
        <v>175</v>
      </c>
      <c r="N2" s="131" t="str">
        <f>+'DZ133378-D'!B2</f>
        <v>DZ133378</v>
      </c>
      <c r="O2" s="132" t="s">
        <v>176</v>
      </c>
      <c r="P2" s="183" t="str">
        <f>+'DZ133378-D'!B3</f>
        <v>142D</v>
      </c>
    </row>
    <row r="3" spans="1:16" ht="220.5" customHeight="1" thickTop="1" thickBot="1">
      <c r="A3" s="117"/>
      <c r="B3" s="118"/>
      <c r="C3" s="119"/>
      <c r="D3" s="118"/>
      <c r="E3" s="117"/>
      <c r="F3" s="118"/>
      <c r="G3" s="119"/>
      <c r="H3" s="120"/>
      <c r="I3" s="171"/>
      <c r="J3" s="172"/>
      <c r="K3" s="173"/>
      <c r="L3" s="174"/>
      <c r="M3" s="171"/>
      <c r="N3" s="172"/>
      <c r="O3" s="173"/>
      <c r="P3" s="174"/>
    </row>
    <row r="4" spans="1:16" ht="24.95" customHeight="1" thickTop="1" thickBot="1">
      <c r="A4" s="134" t="s">
        <v>177</v>
      </c>
      <c r="B4" s="135">
        <f>+'R120638-A'!B4</f>
        <v>1.06</v>
      </c>
      <c r="E4" s="136" t="s">
        <v>177</v>
      </c>
      <c r="F4" s="135">
        <f>+'R120636-B'!B4</f>
        <v>1</v>
      </c>
      <c r="H4" s="26"/>
      <c r="I4" s="136" t="s">
        <v>177</v>
      </c>
      <c r="J4" s="135">
        <f>+'R544000-C'!B4</f>
        <v>0.93075000000000008</v>
      </c>
      <c r="L4" s="26"/>
      <c r="M4" s="136" t="s">
        <v>177</v>
      </c>
      <c r="N4" s="135">
        <f>+'DZ133378-D'!B4</f>
        <v>3.8</v>
      </c>
      <c r="P4" s="26"/>
    </row>
    <row r="5" spans="1:16" ht="9.75" customHeight="1" thickTop="1" thickBot="1">
      <c r="A5" s="115"/>
      <c r="B5" s="121"/>
      <c r="E5" s="116"/>
      <c r="F5" s="121"/>
      <c r="H5" s="26"/>
      <c r="I5" s="116"/>
      <c r="J5" s="121"/>
      <c r="L5" s="26"/>
      <c r="M5" s="116"/>
      <c r="N5" s="121"/>
      <c r="P5" s="26"/>
    </row>
    <row r="6" spans="1:16" ht="30" customHeight="1" thickTop="1">
      <c r="A6" s="137" t="s">
        <v>3</v>
      </c>
      <c r="B6" s="138">
        <f>+'R120638-A'!F2</f>
        <v>2.0259251000000003</v>
      </c>
      <c r="C6" s="139" t="s">
        <v>10</v>
      </c>
      <c r="D6" s="140">
        <f>+'R120638-A'!F3</f>
        <v>0.13205417731227106</v>
      </c>
      <c r="E6" s="137" t="s">
        <v>3</v>
      </c>
      <c r="F6" s="138">
        <f>+'R120636-B'!F2</f>
        <v>2.0194901000000001</v>
      </c>
      <c r="G6" s="139" t="s">
        <v>10</v>
      </c>
      <c r="H6" s="140">
        <f>+'R120636-B'!F3</f>
        <v>0.1341045173992674</v>
      </c>
      <c r="I6" s="137" t="s">
        <v>3</v>
      </c>
      <c r="J6" s="138">
        <f>+'R544000-C'!F2</f>
        <v>1.1154581583333334</v>
      </c>
      <c r="K6" s="139" t="s">
        <v>10</v>
      </c>
      <c r="L6" s="140">
        <f>+'R544000-C'!F3</f>
        <v>0.16197156563492057</v>
      </c>
      <c r="M6" s="137" t="s">
        <v>3</v>
      </c>
      <c r="N6" s="138">
        <f>+'DZ133378-D'!F2</f>
        <v>2.1118333333333332</v>
      </c>
      <c r="O6" s="139" t="s">
        <v>10</v>
      </c>
      <c r="P6" s="140">
        <f>+'DZ133378-D'!F3</f>
        <v>0.11732868261904762</v>
      </c>
    </row>
    <row r="7" spans="1:16" ht="30" customHeight="1">
      <c r="A7" s="141" t="s">
        <v>15</v>
      </c>
      <c r="B7" s="142">
        <f>+'R120638-A'!F4</f>
        <v>1.14754184996654</v>
      </c>
      <c r="C7" s="143" t="s">
        <v>178</v>
      </c>
      <c r="D7" s="144">
        <f>+'R120638-A'!I4</f>
        <v>2.6165413461538458</v>
      </c>
      <c r="E7" s="141" t="s">
        <v>15</v>
      </c>
      <c r="F7" s="142">
        <f>+'R120636-B'!F4</f>
        <v>1.0745269468160046</v>
      </c>
      <c r="G7" s="143" t="s">
        <v>178</v>
      </c>
      <c r="H7" s="144">
        <f>+'R120636-B'!I4</f>
        <v>2.552041346153846</v>
      </c>
      <c r="I7" s="141" t="s">
        <v>15</v>
      </c>
      <c r="J7" s="142">
        <f>+'R544000-C'!F4</f>
        <v>0.96867813677045211</v>
      </c>
      <c r="K7" s="143" t="s">
        <v>178</v>
      </c>
      <c r="L7" s="144">
        <f>+'R544000-C'!I4</f>
        <v>1.7802977564102564</v>
      </c>
      <c r="M7" s="141" t="s">
        <v>15</v>
      </c>
      <c r="N7" s="142">
        <f>+'DZ133378-D'!F4</f>
        <v>4.4151218839377293</v>
      </c>
      <c r="O7" s="143" t="s">
        <v>178</v>
      </c>
      <c r="P7" s="144">
        <f>+'DZ133378-D'!I4</f>
        <v>5.4166666666666661</v>
      </c>
    </row>
    <row r="8" spans="1:16" ht="30" customHeight="1">
      <c r="A8" s="141" t="s">
        <v>179</v>
      </c>
      <c r="B8" s="142">
        <f>+'R120638-A'!L2</f>
        <v>183.44827636894419</v>
      </c>
      <c r="C8" s="143" t="s">
        <v>180</v>
      </c>
      <c r="D8" s="144">
        <f>+'R120638-A'!L3</f>
        <v>272.79188983510971</v>
      </c>
      <c r="E8" s="141" t="s">
        <v>179</v>
      </c>
      <c r="F8" s="142">
        <f>+'R120636-B'!L2</f>
        <v>188.08472704543084</v>
      </c>
      <c r="G8" s="143" t="s">
        <v>180</v>
      </c>
      <c r="H8" s="144">
        <f>+'R120636-B'!L3</f>
        <v>273.34728668384309</v>
      </c>
      <c r="I8" s="141" t="s">
        <v>179</v>
      </c>
      <c r="J8" s="142">
        <f>+'R544000-C'!L2</f>
        <v>269.61781998077606</v>
      </c>
      <c r="K8" s="143" t="s">
        <v>180</v>
      </c>
      <c r="L8" s="144">
        <f>+'R544000-C'!L3</f>
        <v>460.83102204192051</v>
      </c>
      <c r="M8" s="141" t="s">
        <v>179</v>
      </c>
      <c r="N8" s="142">
        <f>+'DZ133378-D'!L2</f>
        <v>88.615384615384627</v>
      </c>
      <c r="O8" s="143" t="s">
        <v>180</v>
      </c>
      <c r="P8" s="144">
        <f>+'DZ133378-D'!L3</f>
        <v>264.08096005148968</v>
      </c>
    </row>
    <row r="9" spans="1:16" ht="30" customHeight="1">
      <c r="A9" s="145" t="s">
        <v>181</v>
      </c>
      <c r="B9" s="142">
        <f>+'R120638-A'!L4</f>
        <v>320.44251664134873</v>
      </c>
      <c r="C9" s="143" t="s">
        <v>6</v>
      </c>
      <c r="D9" s="144">
        <f>+'R120638-A'!O2</f>
        <v>2.2169535274694425</v>
      </c>
      <c r="E9" s="145" t="s">
        <v>181</v>
      </c>
      <c r="F9" s="142">
        <f>+'R120636-B'!L4</f>
        <v>327.9141433371941</v>
      </c>
      <c r="G9" s="143" t="s">
        <v>6</v>
      </c>
      <c r="H9" s="144">
        <f>+'R120636-B'!O2</f>
        <v>2.2303082645145076</v>
      </c>
      <c r="I9" s="145" t="s">
        <v>181</v>
      </c>
      <c r="J9" s="142">
        <f>+'R544000-C'!L4</f>
        <v>274.99013993964769</v>
      </c>
      <c r="K9" s="143" t="s">
        <v>6</v>
      </c>
      <c r="L9" s="144">
        <f>+'R544000-C'!O2</f>
        <v>5.5121222603200888</v>
      </c>
      <c r="M9" s="145" t="s">
        <v>181</v>
      </c>
      <c r="N9" s="142">
        <f>+'DZ133378-D'!L4</f>
        <v>159.55569593139168</v>
      </c>
      <c r="O9" s="143" t="s">
        <v>6</v>
      </c>
      <c r="P9" s="144">
        <f>+'DZ133378-D'!O2</f>
        <v>1.428104258080376</v>
      </c>
    </row>
    <row r="10" spans="1:16" ht="30" customHeight="1" thickBot="1">
      <c r="A10" s="146" t="s">
        <v>182</v>
      </c>
      <c r="B10" s="147">
        <f>+'R120638-A'!O3</f>
        <v>183.44827636894419</v>
      </c>
      <c r="C10" s="148" t="s">
        <v>183</v>
      </c>
      <c r="D10" s="149">
        <f>+'R120638-A'!O4</f>
        <v>6.0921804342948711</v>
      </c>
      <c r="E10" s="150" t="s">
        <v>182</v>
      </c>
      <c r="F10" s="147">
        <f>+'R120636-B'!O3</f>
        <v>188.08472704543084</v>
      </c>
      <c r="G10" s="148" t="s">
        <v>183</v>
      </c>
      <c r="H10" s="149">
        <f>+'R120636-B'!O4</f>
        <v>5.9420029342948713</v>
      </c>
      <c r="I10" s="150" t="s">
        <v>182</v>
      </c>
      <c r="J10" s="147">
        <f>+'R544000-C'!O3</f>
        <v>269.61781998077606</v>
      </c>
      <c r="K10" s="148" t="s">
        <v>183</v>
      </c>
      <c r="L10" s="149">
        <f>+'R544000-C'!O4</f>
        <v>4.1451266095085462</v>
      </c>
      <c r="M10" s="150" t="s">
        <v>182</v>
      </c>
      <c r="N10" s="147">
        <f>+'DZ133378-D'!O3</f>
        <v>88.615384615384627</v>
      </c>
      <c r="O10" s="148" t="s">
        <v>183</v>
      </c>
      <c r="P10" s="149">
        <f>+'DZ133378-D'!O4</f>
        <v>12.611805555555552</v>
      </c>
    </row>
    <row r="11" spans="1:16" ht="11.25" customHeight="1" thickTop="1" thickBot="1">
      <c r="A11" s="115"/>
      <c r="B11" s="121"/>
      <c r="D11" s="122"/>
      <c r="H11" s="26"/>
      <c r="I11" s="27"/>
      <c r="L11" s="26"/>
      <c r="M11" s="27"/>
      <c r="P11" s="26"/>
    </row>
    <row r="12" spans="1:16" ht="30" customHeight="1" thickTop="1">
      <c r="A12" s="137" t="s">
        <v>184</v>
      </c>
      <c r="B12" s="138">
        <f>IF((1.1*(B4*1.08-(D6+F6*H17+H6*H17+J6*L17+L6*L17+N6*P17+P6*P17)/1.3))&gt;0,(1.1*(B4*1.08-(D6*+F6*H17+H6*H17+J6*L17+L6*L17+N6*P17+P6*P17)/1.3)),0)</f>
        <v>0</v>
      </c>
      <c r="C12" s="139" t="s">
        <v>185</v>
      </c>
      <c r="D12" s="151">
        <f>IF(B12=0,(B6/1.3+D6/1.3+F6*H17/1.3+H6*H17/1.3+J6*L17/1.3+L6*L17/1.3+N6*P17/1.3+P6*P17/1.3)*1.06,B4+'R120638-A'!I2)</f>
        <v>4.8807824182566826</v>
      </c>
      <c r="E12" s="152" t="s">
        <v>184</v>
      </c>
      <c r="F12" s="138">
        <f>IF((1.1*(F4*1.08-(D6*D17+B6*D17+H6+J6*L17+L6*L17+N6*P17+P6*P17)/1.3))&gt;0,(1.1*(F4*1.08-(D6*D17+B6*D17+H6+J6*L17+L6*L17+N6*P17+P6*P17)/1.3)),0)</f>
        <v>0</v>
      </c>
      <c r="G12" s="139" t="s">
        <v>185</v>
      </c>
      <c r="H12" s="140">
        <f>IF(F12=0,(B6*D17/1.3+D6*D17/1.3+F6/1.3+H6/1.3+J6*L17/1.3+L6*L17/1.3+N6*P17/1.3+P6*P17/1.3)*1.06,F4+'R120636-B'!I2)</f>
        <v>4.7878330269471308</v>
      </c>
      <c r="I12" s="152" t="s">
        <v>184</v>
      </c>
      <c r="J12" s="138">
        <f>IF((1.1*(J4*1.08-(B6*D17+D6*D17+F6*H17+H6*H17+L6+N6*P17+P6*P17)/1.3))&gt;0,(1.1*(J4*1.08-(B6*D17+D6*D17+F6*H17+H6*H17+J6+N6*P17+P6*P17)/1.3)),0)</f>
        <v>0</v>
      </c>
      <c r="K12" s="139" t="s">
        <v>185</v>
      </c>
      <c r="L12" s="140">
        <f>IF(J12=0,(B6*D17/1.3+D6*D17/1.3+F6*H17/1.3+H6*H17/1.3+J6/1.3+L6/1.3+N6*P17/1.3+P6*P17/1.3)*1.06,J4+'R544000-C'!I2)</f>
        <v>4.6662294785700595</v>
      </c>
      <c r="M12" s="152" t="s">
        <v>184</v>
      </c>
      <c r="N12" s="138">
        <f>IF((1.1*(N4*1.08-(B6*D17+D6*D17+F6*H17+H6*H17+J6*L17+L6*L17+P6)/1.3))&gt;0,(1.1*(N4*1.08-(B6*D17+D6*D17+F6*H17+H6*H17+J6*L17+L6*L17+P6)/1.3)),0)</f>
        <v>3.48066143807233E-2</v>
      </c>
      <c r="O12" s="139" t="s">
        <v>185</v>
      </c>
      <c r="P12" s="140">
        <f>IF(N12=0,(B6*D17/1.3+D6*D17/1.3+F6*H17/1.3+H6*H17/1.3+J6/1.3+L6/1.3+N6*P17/1.3+P6*P17/1.3)*1.06,N4+'DZ133378-D'!I2)</f>
        <v>5.4166666666666661</v>
      </c>
    </row>
    <row r="13" spans="1:16" ht="30" customHeight="1">
      <c r="A13" s="155" t="s">
        <v>186</v>
      </c>
      <c r="B13" s="156">
        <f>480/D12</f>
        <v>98.344887943488033</v>
      </c>
      <c r="C13" s="157" t="s">
        <v>180</v>
      </c>
      <c r="D13" s="158"/>
      <c r="E13" s="155" t="s">
        <v>186</v>
      </c>
      <c r="F13" s="156">
        <f>480/H12</f>
        <v>100.25412275207574</v>
      </c>
      <c r="G13" s="157" t="s">
        <v>180</v>
      </c>
      <c r="H13" s="159"/>
      <c r="I13" s="155" t="s">
        <v>186</v>
      </c>
      <c r="J13" s="156">
        <f>480/L12</f>
        <v>102.86677974249423</v>
      </c>
      <c r="K13" s="157" t="s">
        <v>180</v>
      </c>
      <c r="L13" s="159"/>
      <c r="M13" s="155" t="s">
        <v>186</v>
      </c>
      <c r="N13" s="156">
        <f>480/P12</f>
        <v>88.615384615384627</v>
      </c>
      <c r="O13" s="157" t="s">
        <v>180</v>
      </c>
      <c r="P13" s="159"/>
    </row>
    <row r="14" spans="1:16" ht="30" customHeight="1" thickBot="1">
      <c r="A14" s="146" t="s">
        <v>187</v>
      </c>
      <c r="B14" s="147">
        <f>('R120638-A'!I2+'R120638-A'!I3)*1.06*COMBINADOR!B13</f>
        <v>171.78620598235119</v>
      </c>
      <c r="C14" s="143" t="s">
        <v>188</v>
      </c>
      <c r="D14" s="149">
        <f>(('R120638-A'!F2+'R120638-A'!F3)/1.3-('R120638-A'!I2+'R120638-A'!I3))*COMBINADOR!B13</f>
        <v>1.1884878427334862</v>
      </c>
      <c r="E14" s="146" t="s">
        <v>187</v>
      </c>
      <c r="F14" s="147">
        <f>('R120636-B'!I2+'R120636-B'!I3)*1.06*COMBINADOR!F13</f>
        <v>174.78689149666096</v>
      </c>
      <c r="G14" s="143" t="s">
        <v>188</v>
      </c>
      <c r="H14" s="149">
        <f>(('R120636-B'!F2+'R120636-B'!F3)/1.3-('R120636-B'!I2+'R120636-B'!I3))*COMBINADOR!F13</f>
        <v>1.1888131590376165</v>
      </c>
      <c r="I14" s="146" t="s">
        <v>187</v>
      </c>
      <c r="J14" s="147">
        <f>('R544000-C'!I2+'R544000-C'!I3)*1.06*COMBINADOR!J13</f>
        <v>104.91647087179294</v>
      </c>
      <c r="K14" s="143" t="s">
        <v>188</v>
      </c>
      <c r="L14" s="149">
        <f>(('R544000-C'!F2+'R544000-C'!F3)/1.3-('R544000-C'!I2+'R544000-C'!I3))*COMBINADOR!J13</f>
        <v>2.1030296384210603</v>
      </c>
      <c r="M14" s="146" t="s">
        <v>187</v>
      </c>
      <c r="N14" s="147">
        <f>('DZ133378-D'!I2+'DZ133378-D'!I3)*1.06*COMBINADOR!N13</f>
        <v>159.55569593139171</v>
      </c>
      <c r="O14" s="143" t="s">
        <v>188</v>
      </c>
      <c r="P14" s="149">
        <f>(('DZ133378-D'!F2+'DZ133378-D'!F3)/1.3-('DZ133378-D'!I2+'DZ133378-D'!I3))*COMBINADOR!N13</f>
        <v>1.428104258080376</v>
      </c>
    </row>
    <row r="15" spans="1:16" ht="30" customHeight="1" thickTop="1" thickBot="1">
      <c r="A15" s="160" t="s">
        <v>189</v>
      </c>
      <c r="B15" s="182">
        <f>+B13</f>
        <v>98.344887943488033</v>
      </c>
      <c r="C15" s="162" t="s">
        <v>190</v>
      </c>
      <c r="D15" s="163">
        <f>8/4*1.397*100/B15</f>
        <v>2.8410220992935771</v>
      </c>
      <c r="E15" s="164" t="s">
        <v>189</v>
      </c>
      <c r="F15" s="161">
        <f>+F13</f>
        <v>100.25412275207574</v>
      </c>
      <c r="G15" s="162" t="s">
        <v>190</v>
      </c>
      <c r="H15" s="165">
        <f>8/4*1.397*100/F15</f>
        <v>2.7869178077688086</v>
      </c>
      <c r="I15" s="164" t="s">
        <v>189</v>
      </c>
      <c r="J15" s="161">
        <f>+J13</f>
        <v>102.86677974249423</v>
      </c>
      <c r="K15" s="162" t="s">
        <v>190</v>
      </c>
      <c r="L15" s="165">
        <f>8/4*1.397*100/J15</f>
        <v>2.7161344089843218</v>
      </c>
      <c r="M15" s="164" t="s">
        <v>189</v>
      </c>
      <c r="N15" s="161">
        <f>+N13</f>
        <v>88.615384615384627</v>
      </c>
      <c r="O15" s="162" t="s">
        <v>190</v>
      </c>
      <c r="P15" s="165">
        <f>8/4*1.397*100/N15</f>
        <v>3.152951388888888</v>
      </c>
    </row>
    <row r="16" spans="1:16" ht="15" customHeight="1" thickTop="1" thickBot="1">
      <c r="A16" s="27"/>
      <c r="E16" s="27"/>
      <c r="H16" s="26"/>
      <c r="I16" s="175"/>
      <c r="J16" s="104"/>
      <c r="K16" s="104"/>
      <c r="L16" s="176"/>
      <c r="M16" s="175"/>
      <c r="N16" s="104"/>
      <c r="O16" s="104"/>
      <c r="P16" s="176"/>
    </row>
    <row r="17" spans="1:16" ht="30" customHeight="1" thickTop="1" thickBot="1">
      <c r="A17" s="134" t="s">
        <v>191</v>
      </c>
      <c r="B17" s="153">
        <f>1-B15/B10</f>
        <v>0.46390944690207647</v>
      </c>
      <c r="C17" s="134" t="s">
        <v>192</v>
      </c>
      <c r="D17" s="135">
        <f>MIN(B4,F4,J4,N4)/B4</f>
        <v>0.87806603773584913</v>
      </c>
      <c r="E17" s="136" t="s">
        <v>191</v>
      </c>
      <c r="F17" s="153">
        <f>1-F15/F10</f>
        <v>0.46697361169649942</v>
      </c>
      <c r="G17" s="134" t="s">
        <v>192</v>
      </c>
      <c r="H17" s="135">
        <f>MIN(B4,F4,J4,N2)/F4</f>
        <v>0.93075000000000008</v>
      </c>
      <c r="I17" s="136" t="s">
        <v>191</v>
      </c>
      <c r="J17" s="153">
        <f>1-J15/J10</f>
        <v>0.61847188086518656</v>
      </c>
      <c r="K17" s="134" t="s">
        <v>192</v>
      </c>
      <c r="L17" s="135">
        <f>MIN(B4,F4,J4,N4)/J4</f>
        <v>1</v>
      </c>
      <c r="M17" s="136" t="s">
        <v>191</v>
      </c>
      <c r="N17" s="153">
        <f>1-N15/N10</f>
        <v>0</v>
      </c>
      <c r="O17" s="134" t="s">
        <v>192</v>
      </c>
      <c r="P17" s="135">
        <f>MIN(B4,F4,J4,N4)/N4</f>
        <v>0.24493421052631581</v>
      </c>
    </row>
    <row r="18" spans="1:16" ht="9" customHeight="1" thickTop="1" thickBot="1">
      <c r="A18" s="27"/>
      <c r="D18" s="30"/>
      <c r="H18" s="26"/>
      <c r="I18" s="28"/>
      <c r="J18" s="29"/>
      <c r="K18" s="29"/>
      <c r="L18" s="30"/>
      <c r="M18" s="28"/>
      <c r="N18" s="29"/>
      <c r="O18" s="29"/>
      <c r="P18" s="30"/>
    </row>
    <row r="19" spans="1:16" ht="48.75" customHeight="1" thickTop="1" thickBot="1">
      <c r="A19" s="136" t="s">
        <v>193</v>
      </c>
      <c r="B19" s="135">
        <f>IF((B14+F14+J14+N14)&gt;480,480,(B14+F14+J14+N14))</f>
        <v>480</v>
      </c>
      <c r="C19" s="122"/>
      <c r="D19" s="154" t="s">
        <v>194</v>
      </c>
      <c r="E19" s="135">
        <f>480-B19</f>
        <v>0</v>
      </c>
      <c r="F19" s="122"/>
      <c r="G19" s="134" t="s">
        <v>195</v>
      </c>
      <c r="H19" s="135">
        <f>+D14+H14+L14+P14</f>
        <v>5.9084348982725388</v>
      </c>
      <c r="I19" s="28"/>
      <c r="J19" s="29"/>
      <c r="K19" s="29"/>
      <c r="L19" s="30"/>
      <c r="M19" s="28"/>
      <c r="N19" s="29"/>
      <c r="O19" s="29"/>
      <c r="P19" s="30"/>
    </row>
    <row r="20" spans="1:16" ht="24.95" customHeight="1" thickTop="1"/>
    <row r="21" spans="1:16" ht="24.95" customHeight="1"/>
    <row r="22" spans="1:16" ht="24.95" customHeight="1"/>
    <row r="23" spans="1:16" ht="24.95" customHeight="1"/>
    <row r="24" spans="1:16" ht="24.95" customHeight="1"/>
    <row r="25" spans="1:16" ht="24.95" customHeight="1"/>
    <row r="26" spans="1:16" ht="24.95" customHeight="1"/>
    <row r="27" spans="1:16" ht="24.95" customHeight="1"/>
    <row r="28" spans="1:16" ht="24.95" customHeight="1"/>
    <row r="29" spans="1:16" ht="24.95" customHeight="1"/>
    <row r="30" spans="1:16" ht="24.95" customHeight="1"/>
    <row r="31" spans="1:16" ht="24.95" customHeight="1"/>
    <row r="32" spans="1:16" ht="24.95" customHeight="1"/>
    <row r="33" ht="24.95" customHeight="1"/>
    <row r="34" ht="24.95" customHeight="1"/>
    <row r="35" ht="24.95" customHeight="1"/>
    <row r="36" ht="24.95" customHeight="1"/>
    <row r="37" ht="24.95" customHeight="1"/>
    <row r="38" ht="24.95" customHeight="1"/>
    <row r="39" ht="24.95" customHeight="1"/>
    <row r="40" ht="24.95" customHeight="1"/>
    <row r="41" ht="24.95" customHeight="1"/>
    <row r="42" ht="24.95" customHeight="1"/>
    <row r="43" ht="24.95" customHeight="1"/>
    <row r="44" ht="24.95" customHeight="1"/>
    <row r="45" ht="24.95" customHeight="1"/>
    <row r="46" ht="24.95" customHeight="1"/>
    <row r="47" ht="24.95" customHeight="1"/>
    <row r="48" ht="24.95" customHeight="1"/>
    <row r="49" ht="24.95" customHeight="1"/>
    <row r="50" ht="24.95" customHeight="1"/>
    <row r="51" ht="24.95" customHeight="1"/>
    <row r="52" ht="24.95" customHeight="1"/>
    <row r="53" ht="24.95" customHeight="1"/>
    <row r="54" ht="24.95" customHeight="1"/>
    <row r="55" ht="24.95" customHeight="1"/>
    <row r="56" ht="24.95" customHeight="1"/>
    <row r="57" ht="24.95" customHeight="1"/>
    <row r="58" ht="24.95" customHeight="1"/>
    <row r="59" ht="24.95" customHeight="1"/>
    <row r="60" ht="24.95" customHeight="1"/>
    <row r="61" ht="24.95" customHeight="1"/>
    <row r="62" ht="24.95" customHeight="1"/>
    <row r="63" ht="24.95" customHeight="1"/>
    <row r="64"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row r="75" ht="24.95" customHeight="1"/>
    <row r="76" ht="24.95" customHeight="1"/>
    <row r="77" ht="24.95" customHeight="1"/>
    <row r="78" ht="24.95" customHeight="1"/>
    <row r="79" ht="24.95" customHeight="1"/>
    <row r="80" ht="24.95" customHeight="1"/>
    <row r="81" ht="24.95" customHeight="1"/>
    <row r="82" ht="24.95" customHeight="1"/>
    <row r="83" ht="24.95" customHeight="1"/>
    <row r="84" ht="24.95" customHeight="1"/>
    <row r="85" ht="24.95" customHeight="1"/>
    <row r="86" ht="24.95" customHeight="1"/>
    <row r="87" ht="24.95" customHeight="1"/>
    <row r="88" ht="24.95" customHeight="1"/>
    <row r="89" ht="24.95" customHeight="1"/>
    <row r="90" ht="24.95" customHeight="1"/>
    <row r="91" ht="24.95" customHeight="1"/>
    <row r="92" ht="24.95" customHeight="1"/>
    <row r="93" ht="24.95" customHeight="1"/>
    <row r="94" ht="24.95" customHeight="1"/>
    <row r="95" ht="24.95" customHeight="1"/>
    <row r="96" ht="24.95" customHeight="1"/>
    <row r="97" ht="24.95" customHeight="1"/>
    <row r="98" ht="24.95" customHeight="1"/>
    <row r="99" ht="24.95" customHeight="1"/>
    <row r="100" ht="24.95" customHeight="1"/>
    <row r="101" ht="24.95" customHeight="1"/>
    <row r="102" ht="24.95" customHeight="1"/>
    <row r="103" ht="24.95" customHeight="1"/>
    <row r="104" ht="24.95" customHeight="1"/>
    <row r="105" ht="24.95" customHeight="1"/>
    <row r="106" ht="24.95" customHeight="1"/>
    <row r="107" ht="24.95" customHeight="1"/>
    <row r="108" ht="24.95" customHeight="1"/>
    <row r="109" ht="24.95" customHeight="1"/>
    <row r="110" ht="24.95" customHeight="1"/>
    <row r="111" ht="24.95" customHeight="1"/>
    <row r="112" ht="24.95" customHeight="1"/>
    <row r="113" ht="24.95" customHeight="1"/>
    <row r="114" ht="24.95" customHeight="1"/>
    <row r="115" ht="24.95" customHeight="1"/>
    <row r="116" ht="24.95" customHeight="1"/>
    <row r="117" ht="24.95" customHeight="1"/>
    <row r="118" ht="24.95" customHeight="1"/>
    <row r="119" ht="24.95" customHeight="1"/>
    <row r="120" ht="24.95" customHeight="1"/>
    <row r="121" ht="24.95" customHeight="1"/>
    <row r="122" ht="24.95" customHeight="1"/>
    <row r="123" ht="24.95" customHeight="1"/>
    <row r="124" ht="24.95" customHeight="1"/>
    <row r="125" ht="24.95" customHeight="1"/>
    <row r="126" ht="24.95" customHeight="1"/>
    <row r="127" ht="24.95" customHeight="1"/>
    <row r="128" ht="24.95" customHeight="1"/>
    <row r="129" ht="24.95" customHeight="1"/>
    <row r="130" ht="24.95" customHeight="1"/>
    <row r="131" ht="24.95" customHeight="1"/>
    <row r="132" ht="24.95" customHeight="1"/>
    <row r="133" ht="24.95" customHeight="1"/>
    <row r="134" ht="24.95" customHeight="1"/>
    <row r="135" ht="24.95" customHeight="1"/>
    <row r="136" ht="24.95" customHeight="1"/>
    <row r="137" ht="24.95" customHeight="1"/>
    <row r="138" ht="24.95" customHeight="1"/>
    <row r="139" ht="24.95" customHeight="1"/>
    <row r="140" ht="24.95" customHeight="1"/>
    <row r="141" ht="24.95" customHeight="1"/>
    <row r="142" ht="24.95" customHeight="1"/>
    <row r="143" ht="24.95" customHeight="1"/>
    <row r="144" ht="24.95" customHeight="1"/>
    <row r="145" ht="24.95" customHeight="1"/>
    <row r="146" ht="24.95" customHeight="1"/>
    <row r="147" ht="24.95" customHeight="1"/>
    <row r="148" ht="24.95" customHeight="1"/>
    <row r="149" ht="24.95" customHeight="1"/>
    <row r="150" ht="24.95" customHeight="1"/>
    <row r="151" ht="24.95" customHeight="1"/>
    <row r="152" ht="24.95" customHeight="1"/>
    <row r="153" ht="24.95" customHeight="1"/>
    <row r="154" ht="24.95" customHeight="1"/>
    <row r="155" ht="24.95" customHeight="1"/>
    <row r="156" ht="24.95" customHeight="1"/>
    <row r="157" ht="24.95" customHeight="1"/>
    <row r="158" ht="24.95" customHeight="1"/>
    <row r="159" ht="24.95" customHeight="1"/>
    <row r="160" ht="24.95" customHeight="1"/>
    <row r="161" ht="24.95" customHeight="1"/>
    <row r="162" ht="24.95" customHeight="1"/>
    <row r="163" ht="24.95" customHeight="1"/>
    <row r="164" ht="24.95" customHeight="1"/>
    <row r="165" ht="24.95" customHeight="1"/>
    <row r="166" ht="24.95" customHeight="1"/>
    <row r="167" ht="24.95" customHeight="1"/>
    <row r="168" ht="24.95" customHeight="1"/>
    <row r="169" ht="24.95" customHeight="1"/>
    <row r="170" ht="24.95" customHeight="1"/>
    <row r="171" ht="24.95" customHeight="1"/>
    <row r="172" ht="24.95" customHeight="1"/>
    <row r="173" ht="24.95" customHeight="1"/>
    <row r="174" ht="24.95" customHeight="1"/>
    <row r="175" ht="24.95" customHeight="1"/>
    <row r="176" ht="24.95" customHeight="1"/>
    <row r="177" ht="24.95" customHeight="1"/>
    <row r="178" ht="24.95" customHeight="1"/>
    <row r="179" ht="24.95" customHeight="1"/>
    <row r="180" ht="24.95" customHeight="1"/>
    <row r="181" ht="24.95" customHeight="1"/>
    <row r="182" ht="24.95" customHeight="1"/>
    <row r="183" ht="24.95" customHeight="1"/>
    <row r="184" ht="24.95" customHeight="1"/>
    <row r="185" ht="24.95" customHeight="1"/>
    <row r="186" ht="24.95" customHeight="1"/>
    <row r="187" ht="24.95" customHeight="1"/>
    <row r="188" ht="24.95" customHeight="1"/>
    <row r="189" ht="24.95" customHeight="1"/>
    <row r="190" ht="24.95" customHeight="1"/>
    <row r="191" ht="24.95" customHeight="1"/>
    <row r="192" ht="24.95" customHeight="1"/>
    <row r="193" ht="24.95" customHeight="1"/>
    <row r="194" ht="24.95" customHeight="1"/>
    <row r="195" ht="24.95" customHeight="1"/>
    <row r="196" ht="24.95" customHeight="1"/>
    <row r="197" ht="24.95" customHeight="1"/>
    <row r="198" ht="24.95" customHeight="1"/>
    <row r="199" ht="24.95" customHeight="1"/>
    <row r="200" ht="24.95" customHeight="1"/>
    <row r="201" ht="24.95" customHeight="1"/>
    <row r="202" ht="24.95" customHeight="1"/>
    <row r="203" ht="24.95" customHeight="1"/>
    <row r="204" ht="24.95" customHeight="1"/>
    <row r="205" ht="24.95" customHeight="1"/>
    <row r="206" ht="24.95" customHeight="1"/>
    <row r="207" ht="24.95" customHeight="1"/>
    <row r="208" ht="24.95" customHeight="1"/>
    <row r="209" ht="24.95" customHeight="1"/>
    <row r="210" ht="24.95" customHeight="1"/>
    <row r="211" ht="24.95" customHeight="1"/>
    <row r="212" ht="24.95" customHeight="1"/>
    <row r="213" ht="24.95" customHeight="1"/>
    <row r="214" ht="24.95" customHeight="1"/>
    <row r="215" ht="24.95" customHeight="1"/>
    <row r="216" ht="24.95" customHeight="1"/>
    <row r="217" ht="24.95" customHeight="1"/>
    <row r="218" ht="24.95" customHeight="1"/>
    <row r="219" ht="24.95" customHeight="1"/>
    <row r="220" ht="24.95" customHeight="1"/>
    <row r="221" ht="24.95" customHeight="1"/>
    <row r="222" ht="24.95" customHeight="1"/>
    <row r="223" ht="24.95" customHeight="1"/>
    <row r="224" ht="24.95" customHeight="1"/>
    <row r="225" ht="24.95" customHeight="1"/>
    <row r="226" ht="24.95" customHeight="1"/>
    <row r="227" ht="24.95" customHeight="1"/>
    <row r="228" ht="24.95" customHeight="1"/>
    <row r="229" ht="24.95" customHeight="1"/>
    <row r="230" ht="24.95" customHeight="1"/>
    <row r="231" ht="24.95" customHeight="1"/>
    <row r="232" ht="24.95" customHeight="1"/>
    <row r="233" ht="24.95" customHeight="1"/>
    <row r="234" ht="24.95" customHeight="1"/>
    <row r="235" ht="24.95" customHeight="1"/>
    <row r="236" ht="24.95" customHeight="1"/>
    <row r="237" ht="24.95" customHeight="1"/>
    <row r="238" ht="24.95" customHeight="1"/>
    <row r="239" ht="24.95" customHeight="1"/>
    <row r="240" ht="24.95" customHeight="1"/>
    <row r="241" ht="24.95" customHeight="1"/>
    <row r="242" ht="24.95" customHeight="1"/>
    <row r="243" ht="24.95" customHeight="1"/>
    <row r="244" ht="24.95" customHeight="1"/>
    <row r="245" ht="24.95" customHeight="1"/>
    <row r="246" ht="24.95" customHeight="1"/>
    <row r="247" ht="24.95" customHeight="1"/>
    <row r="248" ht="24.95" customHeight="1"/>
    <row r="249" ht="24.95" customHeight="1"/>
    <row r="250" ht="24.95" customHeight="1"/>
    <row r="251" ht="24.95" customHeight="1"/>
    <row r="252" ht="24.95" customHeight="1"/>
    <row r="253" ht="24.95" customHeight="1"/>
    <row r="254" ht="24.95" customHeight="1"/>
    <row r="255" ht="24.95" customHeight="1"/>
    <row r="256" ht="24.95" customHeight="1"/>
    <row r="257" ht="24.95" customHeight="1"/>
    <row r="258" ht="24.95" customHeight="1"/>
    <row r="259" ht="24.95" customHeight="1"/>
    <row r="260" ht="24.95" customHeight="1"/>
    <row r="261" ht="24.95" customHeight="1"/>
    <row r="262" ht="24.95" customHeight="1"/>
    <row r="263" ht="24.95" customHeight="1"/>
    <row r="264" ht="24.95" customHeight="1"/>
    <row r="265" ht="24.95" customHeight="1"/>
    <row r="266" ht="24.95" customHeight="1"/>
    <row r="267" ht="24.95" customHeight="1"/>
    <row r="268" ht="24.95" customHeight="1"/>
    <row r="269" ht="24.95" customHeight="1"/>
    <row r="270" ht="24.95" customHeight="1"/>
    <row r="271" ht="24.95" customHeight="1"/>
    <row r="272" ht="24.95" customHeight="1"/>
    <row r="273" ht="24.95" customHeight="1"/>
    <row r="274" ht="24.95" customHeight="1"/>
    <row r="275" ht="24.95" customHeight="1"/>
    <row r="276" ht="24.95" customHeight="1"/>
    <row r="277" ht="24.95" customHeight="1"/>
    <row r="278" ht="24.95" customHeight="1"/>
    <row r="279" ht="24.95" customHeight="1"/>
    <row r="280" ht="24.95" customHeight="1"/>
    <row r="281" ht="24.95" customHeight="1"/>
    <row r="282" ht="24.95" customHeight="1"/>
    <row r="283" ht="24.95" customHeight="1"/>
    <row r="284" ht="24.95" customHeight="1"/>
    <row r="285" ht="24.95" customHeight="1"/>
    <row r="286" ht="24.95" customHeight="1"/>
    <row r="287" ht="24.95" customHeight="1"/>
    <row r="288" ht="24.95" customHeight="1"/>
    <row r="289" ht="24.95" customHeight="1"/>
    <row r="290" ht="24.95" customHeight="1"/>
    <row r="291" ht="24.95" customHeight="1"/>
    <row r="292" ht="24.95" customHeight="1"/>
    <row r="293" ht="24.95" customHeight="1"/>
    <row r="294" ht="24.95" customHeight="1"/>
    <row r="295" ht="24.95" customHeight="1"/>
    <row r="296" ht="24.95" customHeight="1"/>
    <row r="297" ht="24.95" customHeight="1"/>
    <row r="298" ht="24.95" customHeight="1"/>
    <row r="299" ht="24.95" customHeight="1"/>
    <row r="300" ht="24.95" customHeight="1"/>
    <row r="301" ht="24.95" customHeight="1"/>
    <row r="302" ht="24.95" customHeight="1"/>
  </sheetData>
  <mergeCells count="1">
    <mergeCell ref="A1:P1"/>
  </mergeCells>
  <conditionalFormatting sqref="B12 F12 B7 F7">
    <cfRule type="cellIs" dxfId="6" priority="7" operator="lessThanOrEqual">
      <formula>0</formula>
    </cfRule>
  </conditionalFormatting>
  <conditionalFormatting sqref="B12">
    <cfRule type="cellIs" dxfId="5" priority="5" operator="lessThanOrEqual">
      <formula>0</formula>
    </cfRule>
  </conditionalFormatting>
  <conditionalFormatting sqref="F12">
    <cfRule type="cellIs" dxfId="4" priority="4" operator="lessThanOrEqual">
      <formula>0</formula>
    </cfRule>
  </conditionalFormatting>
  <conditionalFormatting sqref="J12 J7">
    <cfRule type="cellIs" dxfId="3" priority="6" operator="lessThanOrEqual">
      <formula>0</formula>
    </cfRule>
  </conditionalFormatting>
  <conditionalFormatting sqref="J12">
    <cfRule type="cellIs" dxfId="2" priority="3" operator="lessThanOrEqual">
      <formula>0</formula>
    </cfRule>
  </conditionalFormatting>
  <conditionalFormatting sqref="N12 N7">
    <cfRule type="cellIs" dxfId="1" priority="2" operator="lessThanOrEqual">
      <formula>0</formula>
    </cfRule>
  </conditionalFormatting>
  <conditionalFormatting sqref="N12">
    <cfRule type="cellIs" dxfId="0" priority="1" operator="lessThanOrEqual">
      <formula>0</formula>
    </cfRule>
  </conditionalFormatting>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1B95-FDCC-46FC-B19B-B43BE6622E19}">
  <dimension ref="A1:T179"/>
  <sheetViews>
    <sheetView showGridLines="0" zoomScaleNormal="100" zoomScaleSheetLayoutView="100" workbookViewId="0">
      <selection activeCell="P13" sqref="P13:Q13"/>
    </sheetView>
  </sheetViews>
  <sheetFormatPr defaultColWidth="11.42578125" defaultRowHeight="15"/>
  <cols>
    <col min="2" max="2" width="17.5703125" customWidth="1"/>
    <col min="3" max="3" width="13.28515625" customWidth="1"/>
    <col min="11" max="11" width="13.7109375" customWidth="1"/>
    <col min="12" max="12" width="16.28515625" customWidth="1"/>
    <col min="14" max="17" width="20.7109375" customWidth="1"/>
  </cols>
  <sheetData>
    <row r="1" spans="1:20" ht="15.75" thickBot="1"/>
    <row r="2" spans="1:20" ht="5.25" customHeight="1" thickTop="1">
      <c r="A2" s="44"/>
      <c r="B2" s="45"/>
      <c r="C2" s="45"/>
      <c r="D2" s="46"/>
      <c r="E2" s="45"/>
      <c r="F2" s="45"/>
      <c r="G2" s="45"/>
      <c r="H2" s="45"/>
      <c r="I2" s="45"/>
      <c r="J2" s="45"/>
      <c r="K2" s="45"/>
      <c r="L2" s="47"/>
    </row>
    <row r="3" spans="1:20">
      <c r="A3" s="48"/>
      <c r="B3" s="49" t="s">
        <v>196</v>
      </c>
      <c r="C3" s="57" t="str">
        <f>+'R120638-A'!B2</f>
        <v>R120638</v>
      </c>
      <c r="D3" s="57" t="str">
        <f>+'R120638-A'!B3</f>
        <v>142A</v>
      </c>
      <c r="E3" s="50"/>
      <c r="F3" s="51" t="s">
        <v>197</v>
      </c>
      <c r="G3" s="257">
        <v>45910</v>
      </c>
      <c r="H3" s="258"/>
      <c r="I3" s="50"/>
      <c r="J3" s="50"/>
      <c r="K3" s="50"/>
      <c r="L3" s="52"/>
    </row>
    <row r="4" spans="1:20">
      <c r="A4" s="48"/>
      <c r="B4" s="49" t="s">
        <v>198</v>
      </c>
      <c r="C4" s="57" t="str">
        <f>+'R120636-B'!B2</f>
        <v>R120636</v>
      </c>
      <c r="D4" s="57" t="str">
        <f>+'R120636-B'!B3</f>
        <v>142B</v>
      </c>
      <c r="E4" s="50"/>
      <c r="F4" s="51" t="s">
        <v>199</v>
      </c>
      <c r="G4" s="259"/>
      <c r="H4" s="260"/>
      <c r="I4" s="50"/>
      <c r="J4" s="50"/>
      <c r="K4" s="50"/>
      <c r="L4" s="52"/>
    </row>
    <row r="5" spans="1:20" ht="15" customHeight="1">
      <c r="A5" s="48"/>
      <c r="B5" s="49" t="s">
        <v>200</v>
      </c>
      <c r="C5" s="57" t="str">
        <f>+'R544000-C'!B2</f>
        <v>R544000</v>
      </c>
      <c r="D5" s="57" t="str">
        <f>+'R544000-C'!B3</f>
        <v>142C</v>
      </c>
      <c r="E5" s="50"/>
      <c r="F5" s="51" t="s">
        <v>201</v>
      </c>
      <c r="G5" s="259"/>
      <c r="H5" s="260"/>
      <c r="I5" s="50"/>
      <c r="J5" s="50"/>
      <c r="K5" s="50"/>
      <c r="L5" s="52"/>
      <c r="N5" s="256" t="s">
        <v>202</v>
      </c>
      <c r="O5" s="256"/>
      <c r="P5" s="256"/>
      <c r="Q5" s="256"/>
    </row>
    <row r="6" spans="1:20" ht="15" customHeight="1">
      <c r="A6" s="48"/>
      <c r="B6" s="49" t="s">
        <v>203</v>
      </c>
      <c r="C6" s="57" t="str">
        <f>+'DZ133378-D'!B2</f>
        <v>DZ133378</v>
      </c>
      <c r="D6" s="57" t="str">
        <f>+'DZ133378-D'!B3</f>
        <v>142D</v>
      </c>
      <c r="E6" s="50"/>
      <c r="F6" s="51"/>
      <c r="G6" s="53"/>
      <c r="H6" s="53"/>
      <c r="I6" s="50"/>
      <c r="J6" s="50"/>
      <c r="K6" s="50"/>
      <c r="L6" s="52"/>
      <c r="N6" s="256"/>
      <c r="O6" s="256"/>
      <c r="P6" s="256"/>
      <c r="Q6" s="256"/>
    </row>
    <row r="7" spans="1:20" ht="21" customHeight="1" thickBot="1">
      <c r="A7" s="54"/>
      <c r="B7" s="55"/>
      <c r="C7" s="55"/>
      <c r="D7" s="55"/>
      <c r="E7" s="55"/>
      <c r="F7" s="55"/>
      <c r="G7" s="55"/>
      <c r="H7" s="55"/>
      <c r="I7" s="55"/>
      <c r="J7" s="55"/>
      <c r="K7" s="55"/>
      <c r="L7" s="56"/>
      <c r="N7" s="261">
        <f>+G3</f>
        <v>45910</v>
      </c>
      <c r="O7" s="261"/>
      <c r="P7" s="42"/>
      <c r="Q7" s="42"/>
    </row>
    <row r="8" spans="1:20" ht="20.100000000000001" customHeight="1" thickTop="1">
      <c r="L8" s="43">
        <f>+G3</f>
        <v>45910</v>
      </c>
      <c r="N8" s="31" t="s">
        <v>196</v>
      </c>
      <c r="O8" s="32" t="s">
        <v>198</v>
      </c>
      <c r="P8" s="32" t="s">
        <v>200</v>
      </c>
      <c r="Q8" s="33" t="s">
        <v>203</v>
      </c>
      <c r="R8" s="265" t="s">
        <v>196</v>
      </c>
      <c r="S8" s="266"/>
      <c r="T8" s="267"/>
    </row>
    <row r="9" spans="1:20" ht="20.100000000000001" customHeight="1">
      <c r="A9" s="14" t="s">
        <v>29</v>
      </c>
      <c r="B9" s="14" t="s">
        <v>204</v>
      </c>
      <c r="C9" s="14" t="s">
        <v>205</v>
      </c>
      <c r="D9" s="283" t="s">
        <v>206</v>
      </c>
      <c r="E9" s="283"/>
      <c r="F9" s="283"/>
      <c r="G9" s="283"/>
      <c r="H9" s="283"/>
      <c r="I9" s="283"/>
      <c r="J9" s="14" t="s">
        <v>30</v>
      </c>
      <c r="K9" s="14" t="s">
        <v>39</v>
      </c>
      <c r="L9" s="14" t="s">
        <v>40</v>
      </c>
      <c r="N9" s="34" t="str">
        <f>+C3</f>
        <v>R120638</v>
      </c>
      <c r="O9" s="18" t="str">
        <f>+C4</f>
        <v>R120636</v>
      </c>
      <c r="P9" s="18" t="str">
        <f>+C5</f>
        <v>R544000</v>
      </c>
      <c r="Q9" s="35" t="str">
        <f>+C6</f>
        <v>DZ133378</v>
      </c>
      <c r="R9" s="254" t="s">
        <v>3</v>
      </c>
      <c r="S9" s="255"/>
      <c r="T9" s="61">
        <f>+'R120638-A'!F2</f>
        <v>2.0259251000000003</v>
      </c>
    </row>
    <row r="10" spans="1:20" ht="20.100000000000001" customHeight="1">
      <c r="A10" s="15">
        <v>1</v>
      </c>
      <c r="B10" s="15" t="str">
        <f>$D$3</f>
        <v>142A</v>
      </c>
      <c r="C10" s="15" t="str">
        <f>+'R120638-A'!A16</f>
        <v>TORNO</v>
      </c>
      <c r="D10" s="251" t="str">
        <f>+'R120638-A'!C16</f>
        <v>TORNEAR</v>
      </c>
      <c r="E10" s="252"/>
      <c r="F10" s="252"/>
      <c r="G10" s="252"/>
      <c r="H10" s="252"/>
      <c r="I10" s="253"/>
      <c r="J10" s="15" t="str">
        <f>+'R120638-A'!D16</f>
        <v>M</v>
      </c>
      <c r="K10" s="17">
        <f>+'R120638-A'!M16</f>
        <v>1</v>
      </c>
      <c r="L10" s="16">
        <f>+'R120638-A'!N16</f>
        <v>0.9</v>
      </c>
      <c r="N10" s="36" t="s">
        <v>207</v>
      </c>
      <c r="O10" s="14" t="s">
        <v>208</v>
      </c>
      <c r="P10" s="14" t="s">
        <v>209</v>
      </c>
      <c r="Q10" s="37" t="s">
        <v>210</v>
      </c>
      <c r="R10" s="254" t="s">
        <v>10</v>
      </c>
      <c r="S10" s="255"/>
      <c r="T10" s="61">
        <f>+'R120638-A'!F3</f>
        <v>0.13205417731227106</v>
      </c>
    </row>
    <row r="11" spans="1:20" ht="20.25" customHeight="1">
      <c r="A11" s="15">
        <v>2</v>
      </c>
      <c r="B11" s="15" t="str">
        <f t="shared" ref="B11:B51" si="0">$D$3</f>
        <v>142A</v>
      </c>
      <c r="C11" s="15" t="e">
        <f>+'R120638-A'!#REF!</f>
        <v>#REF!</v>
      </c>
      <c r="D11" s="251" t="e">
        <f>+'R120638-A'!#REF!</f>
        <v>#REF!</v>
      </c>
      <c r="E11" s="252"/>
      <c r="F11" s="252"/>
      <c r="G11" s="252"/>
      <c r="H11" s="252"/>
      <c r="I11" s="253"/>
      <c r="J11" s="15" t="e">
        <f>+'R120638-A'!#REF!</f>
        <v>#REF!</v>
      </c>
      <c r="K11" s="17" t="e">
        <f>+'R120638-A'!#REF!</f>
        <v>#REF!</v>
      </c>
      <c r="L11" s="16" t="e">
        <f>+'R120638-A'!#REF!</f>
        <v>#REF!</v>
      </c>
      <c r="N11" s="58">
        <f>+COMBINADOR!D15</f>
        <v>2.8410220992935771</v>
      </c>
      <c r="O11" s="58">
        <f>+COMBINADOR!H15</f>
        <v>2.7869178077688086</v>
      </c>
      <c r="P11" s="58">
        <f>+COMBINADOR!L15</f>
        <v>2.7161344089843218</v>
      </c>
      <c r="Q11" s="58">
        <f>+COMBINADOR!P15</f>
        <v>3.152951388888888</v>
      </c>
      <c r="R11" s="254" t="s">
        <v>15</v>
      </c>
      <c r="S11" s="255"/>
      <c r="T11" s="61">
        <f>+'R120638-A'!F4</f>
        <v>1.14754184996654</v>
      </c>
    </row>
    <row r="12" spans="1:20" ht="20.100000000000001" customHeight="1">
      <c r="A12" s="15">
        <v>3</v>
      </c>
      <c r="B12" s="15" t="str">
        <f t="shared" si="0"/>
        <v>142A</v>
      </c>
      <c r="C12" s="15" t="e">
        <f>+'R120638-A'!#REF!</f>
        <v>#REF!</v>
      </c>
      <c r="D12" s="251" t="e">
        <f>+'R120638-A'!#REF!</f>
        <v>#REF!</v>
      </c>
      <c r="E12" s="252"/>
      <c r="F12" s="252"/>
      <c r="G12" s="252"/>
      <c r="H12" s="252"/>
      <c r="I12" s="253"/>
      <c r="J12" s="15" t="e">
        <f>+'R120638-A'!#REF!</f>
        <v>#REF!</v>
      </c>
      <c r="K12" s="17" t="e">
        <f>+'R120638-A'!#REF!</f>
        <v>#REF!</v>
      </c>
      <c r="L12" s="16" t="e">
        <f>+'R120638-A'!#REF!</f>
        <v>#REF!</v>
      </c>
      <c r="N12" s="36" t="s">
        <v>211</v>
      </c>
      <c r="O12" s="14" t="s">
        <v>212</v>
      </c>
      <c r="P12" s="14" t="s">
        <v>213</v>
      </c>
      <c r="Q12" s="37" t="s">
        <v>214</v>
      </c>
      <c r="R12" s="254" t="s">
        <v>215</v>
      </c>
      <c r="S12" s="255"/>
      <c r="T12" s="61">
        <f>+'R120638-A'!B4</f>
        <v>1.06</v>
      </c>
    </row>
    <row r="13" spans="1:20" ht="20.100000000000001" customHeight="1">
      <c r="A13" s="15">
        <v>4</v>
      </c>
      <c r="B13" s="15" t="str">
        <f t="shared" si="0"/>
        <v>142A</v>
      </c>
      <c r="C13" s="15" t="e">
        <f>+'R120638-A'!#REF!</f>
        <v>#REF!</v>
      </c>
      <c r="D13" s="251" t="e">
        <f>+'R120638-A'!#REF!</f>
        <v>#REF!</v>
      </c>
      <c r="E13" s="252"/>
      <c r="F13" s="252"/>
      <c r="G13" s="252"/>
      <c r="H13" s="252"/>
      <c r="I13" s="253"/>
      <c r="J13" s="15" t="e">
        <f>+'R120638-A'!#REF!</f>
        <v>#REF!</v>
      </c>
      <c r="K13" s="17" t="e">
        <f>+'R120638-A'!#REF!</f>
        <v>#REF!</v>
      </c>
      <c r="L13" s="16" t="e">
        <f>+'R120638-A'!#REF!</f>
        <v>#REF!</v>
      </c>
      <c r="N13" s="59">
        <f>+COMBINADOR!B15</f>
        <v>98.344887943488033</v>
      </c>
      <c r="O13" s="60">
        <f>+COMBINADOR!F15</f>
        <v>100.25412275207574</v>
      </c>
      <c r="P13" s="60">
        <f>+COMBINADOR!J15</f>
        <v>102.86677974249423</v>
      </c>
      <c r="Q13" s="60">
        <f>+COMBINADOR!N15</f>
        <v>88.615384615384627</v>
      </c>
      <c r="R13" s="254" t="s">
        <v>216</v>
      </c>
      <c r="S13" s="255"/>
      <c r="T13" s="62">
        <f>+COMBINADOR!B12</f>
        <v>0</v>
      </c>
    </row>
    <row r="14" spans="1:20" ht="20.100000000000001" customHeight="1">
      <c r="A14" s="15">
        <v>5</v>
      </c>
      <c r="B14" s="15" t="str">
        <f t="shared" si="0"/>
        <v>142A</v>
      </c>
      <c r="C14" s="15" t="e">
        <f>+'R120638-A'!#REF!</f>
        <v>#REF!</v>
      </c>
      <c r="D14" s="251" t="e">
        <f>+'R120638-A'!#REF!</f>
        <v>#REF!</v>
      </c>
      <c r="E14" s="252"/>
      <c r="F14" s="252"/>
      <c r="G14" s="252"/>
      <c r="H14" s="252"/>
      <c r="I14" s="253"/>
      <c r="J14" s="15" t="e">
        <f>+'R120638-A'!#REF!</f>
        <v>#REF!</v>
      </c>
      <c r="K14" s="17" t="e">
        <f>+'R120638-A'!#REF!</f>
        <v>#REF!</v>
      </c>
      <c r="L14" s="16" t="e">
        <f>+'R120638-A'!#REF!</f>
        <v>#REF!</v>
      </c>
      <c r="N14" s="63" t="s">
        <v>217</v>
      </c>
      <c r="O14" s="268"/>
      <c r="P14" s="268"/>
      <c r="Q14" s="269"/>
      <c r="R14" s="262" t="s">
        <v>198</v>
      </c>
      <c r="S14" s="263"/>
      <c r="T14" s="264"/>
    </row>
    <row r="15" spans="1:20" ht="20.100000000000001" customHeight="1">
      <c r="A15" s="15">
        <v>6</v>
      </c>
      <c r="B15" s="15" t="str">
        <f t="shared" si="0"/>
        <v>142A</v>
      </c>
      <c r="C15" s="15" t="e">
        <f>+'R120638-A'!#REF!</f>
        <v>#REF!</v>
      </c>
      <c r="D15" s="251" t="e">
        <f>+'R120638-A'!#REF!</f>
        <v>#REF!</v>
      </c>
      <c r="E15" s="252"/>
      <c r="F15" s="252"/>
      <c r="G15" s="252"/>
      <c r="H15" s="252"/>
      <c r="I15" s="253"/>
      <c r="J15" s="15" t="e">
        <f>+'R120638-A'!#REF!</f>
        <v>#REF!</v>
      </c>
      <c r="K15" s="17" t="e">
        <f>+'R120638-A'!#REF!</f>
        <v>#REF!</v>
      </c>
      <c r="L15" s="16" t="e">
        <f>+'R120638-A'!#REF!</f>
        <v>#REF!</v>
      </c>
      <c r="N15" s="39"/>
      <c r="O15" s="270"/>
      <c r="P15" s="270"/>
      <c r="Q15" s="271"/>
      <c r="R15" s="254" t="s">
        <v>3</v>
      </c>
      <c r="S15" s="255"/>
      <c r="T15" s="61">
        <f>+'R120636-B'!F2</f>
        <v>2.0194901000000001</v>
      </c>
    </row>
    <row r="16" spans="1:20" ht="20.100000000000001" customHeight="1">
      <c r="A16" s="15">
        <v>7</v>
      </c>
      <c r="B16" s="15" t="str">
        <f t="shared" si="0"/>
        <v>142A</v>
      </c>
      <c r="C16" s="15" t="e">
        <f>+'R120638-A'!#REF!</f>
        <v>#REF!</v>
      </c>
      <c r="D16" s="251" t="e">
        <f>+'R120638-A'!#REF!</f>
        <v>#REF!</v>
      </c>
      <c r="E16" s="252"/>
      <c r="F16" s="252"/>
      <c r="G16" s="252"/>
      <c r="H16" s="252"/>
      <c r="I16" s="253"/>
      <c r="J16" s="15" t="e">
        <f>+'R120638-A'!#REF!</f>
        <v>#REF!</v>
      </c>
      <c r="K16" s="17" t="e">
        <f>+'R120638-A'!#REF!</f>
        <v>#REF!</v>
      </c>
      <c r="L16" s="16" t="e">
        <f>+'R120638-A'!#REF!</f>
        <v>#REF!</v>
      </c>
      <c r="N16" s="63" t="s">
        <v>218</v>
      </c>
      <c r="O16" s="268"/>
      <c r="P16" s="268"/>
      <c r="Q16" s="269"/>
      <c r="R16" s="254" t="s">
        <v>10</v>
      </c>
      <c r="S16" s="255"/>
      <c r="T16" s="61">
        <f>+'R120636-B'!F3</f>
        <v>0.1341045173992674</v>
      </c>
    </row>
    <row r="17" spans="1:20" ht="20.100000000000001" customHeight="1">
      <c r="A17" s="15">
        <v>8</v>
      </c>
      <c r="B17" s="15" t="str">
        <f t="shared" si="0"/>
        <v>142A</v>
      </c>
      <c r="C17" s="15" t="e">
        <f>+'R120638-A'!#REF!</f>
        <v>#REF!</v>
      </c>
      <c r="D17" s="251" t="e">
        <f>+'R120638-A'!#REF!</f>
        <v>#REF!</v>
      </c>
      <c r="E17" s="252"/>
      <c r="F17" s="252"/>
      <c r="G17" s="252"/>
      <c r="H17" s="252"/>
      <c r="I17" s="253"/>
      <c r="J17" s="15" t="e">
        <f>+'R120638-A'!#REF!</f>
        <v>#REF!</v>
      </c>
      <c r="K17" s="17" t="e">
        <f>+'R120638-A'!#REF!</f>
        <v>#REF!</v>
      </c>
      <c r="L17" s="16" t="e">
        <f>+'R120638-A'!#REF!</f>
        <v>#REF!</v>
      </c>
      <c r="N17" s="39"/>
      <c r="O17" s="270"/>
      <c r="P17" s="270"/>
      <c r="Q17" s="271"/>
      <c r="R17" s="254" t="s">
        <v>15</v>
      </c>
      <c r="S17" s="255"/>
      <c r="T17" s="61">
        <f>+'R120636-B'!F4</f>
        <v>1.0745269468160046</v>
      </c>
    </row>
    <row r="18" spans="1:20" ht="20.100000000000001" customHeight="1">
      <c r="A18" s="15">
        <v>9</v>
      </c>
      <c r="B18" s="15" t="str">
        <f t="shared" si="0"/>
        <v>142A</v>
      </c>
      <c r="C18" s="15" t="e">
        <f>+'R120638-A'!#REF!</f>
        <v>#REF!</v>
      </c>
      <c r="D18" s="251" t="e">
        <f>+'R120638-A'!#REF!</f>
        <v>#REF!</v>
      </c>
      <c r="E18" s="252"/>
      <c r="F18" s="252"/>
      <c r="G18" s="252"/>
      <c r="H18" s="252"/>
      <c r="I18" s="253"/>
      <c r="J18" s="15" t="e">
        <f>+'R120638-A'!#REF!</f>
        <v>#REF!</v>
      </c>
      <c r="K18" s="17" t="e">
        <f>+'R120638-A'!#REF!</f>
        <v>#REF!</v>
      </c>
      <c r="L18" s="16" t="e">
        <f>+'R120638-A'!#REF!</f>
        <v>#REF!</v>
      </c>
      <c r="N18" s="38" t="s">
        <v>219</v>
      </c>
      <c r="O18" s="19"/>
      <c r="P18" s="24" t="s">
        <v>220</v>
      </c>
      <c r="Q18" s="40"/>
      <c r="R18" s="254" t="s">
        <v>215</v>
      </c>
      <c r="S18" s="255"/>
      <c r="T18" s="61">
        <f>+'R120636-B'!B4</f>
        <v>1</v>
      </c>
    </row>
    <row r="19" spans="1:20" ht="20.100000000000001" customHeight="1">
      <c r="A19" s="15">
        <v>10</v>
      </c>
      <c r="B19" s="15" t="str">
        <f t="shared" si="0"/>
        <v>142A</v>
      </c>
      <c r="C19" s="15" t="str">
        <f>+'R120638-A'!A17</f>
        <v>TORNO</v>
      </c>
      <c r="D19" s="251" t="str">
        <f>+'R120638-A'!C17</f>
        <v>CH.-Abrir puertas y desplazar torreta a posición de trabajo</v>
      </c>
      <c r="E19" s="252"/>
      <c r="F19" s="252"/>
      <c r="G19" s="252"/>
      <c r="H19" s="252"/>
      <c r="I19" s="253"/>
      <c r="J19" s="15" t="str">
        <f>+'R120638-A'!D17</f>
        <v>D</v>
      </c>
      <c r="K19" s="223">
        <v>5.0000000000000001E-4</v>
      </c>
      <c r="L19" s="16">
        <f>+'R120638-A'!N17</f>
        <v>5.0600000000000016E-4</v>
      </c>
      <c r="N19" s="27"/>
      <c r="O19" s="21"/>
      <c r="P19" s="20"/>
      <c r="Q19" s="26"/>
      <c r="R19" s="254" t="s">
        <v>216</v>
      </c>
      <c r="S19" s="255"/>
      <c r="T19" s="62">
        <f>+COMBINADOR!F12</f>
        <v>0</v>
      </c>
    </row>
    <row r="20" spans="1:20" ht="20.100000000000001" customHeight="1">
      <c r="A20" s="15">
        <v>11</v>
      </c>
      <c r="B20" s="15" t="str">
        <f t="shared" si="0"/>
        <v>142A</v>
      </c>
      <c r="C20" s="15" t="str">
        <f>+'R120638-A'!A18</f>
        <v>TORNO</v>
      </c>
      <c r="D20" s="251" t="str">
        <f>+'R120638-A'!C18</f>
        <v>CH.-Cambio (12) herramientas 2º cabezal, soplando herramienta y gitando torreta.</v>
      </c>
      <c r="E20" s="252"/>
      <c r="F20" s="252"/>
      <c r="G20" s="252"/>
      <c r="H20" s="252"/>
      <c r="I20" s="253"/>
      <c r="J20" s="15" t="str">
        <f>+'R120638-A'!D18</f>
        <v>D</v>
      </c>
      <c r="K20" s="223">
        <v>5.0000000000000001E-4</v>
      </c>
      <c r="L20" s="16">
        <f>+'R120638-A'!N18</f>
        <v>5.1150000000000015E-3</v>
      </c>
      <c r="N20" s="27"/>
      <c r="O20" s="21"/>
      <c r="P20" s="20"/>
      <c r="Q20" s="26"/>
      <c r="R20" s="262" t="s">
        <v>200</v>
      </c>
      <c r="S20" s="263"/>
      <c r="T20" s="264"/>
    </row>
    <row r="21" spans="1:20" ht="20.100000000000001" customHeight="1">
      <c r="A21" s="15">
        <v>12</v>
      </c>
      <c r="B21" s="15" t="str">
        <f t="shared" si="0"/>
        <v>142A</v>
      </c>
      <c r="C21" s="15" t="str">
        <f>+'R120638-A'!A19</f>
        <v>TORNO</v>
      </c>
      <c r="D21" s="251" t="str">
        <f>+'R120638-A'!C19</f>
        <v>CH.- Cambio (12) herramientas 1º cabezal, soplando herramienta  y girando torreta.</v>
      </c>
      <c r="E21" s="252"/>
      <c r="F21" s="252"/>
      <c r="G21" s="252"/>
      <c r="H21" s="252"/>
      <c r="I21" s="253"/>
      <c r="J21" s="15" t="str">
        <f>+'R120638-A'!D19</f>
        <v>D</v>
      </c>
      <c r="K21" s="223">
        <v>5.0000000000000001E-4</v>
      </c>
      <c r="L21" s="16">
        <f>+'R120638-A'!N19</f>
        <v>3.7290000000000005E-3</v>
      </c>
      <c r="N21" s="27"/>
      <c r="O21" s="21"/>
      <c r="P21" s="20"/>
      <c r="Q21" s="26"/>
      <c r="R21" s="254" t="s">
        <v>3</v>
      </c>
      <c r="S21" s="255"/>
      <c r="T21" s="25">
        <f>+COMBINADOR!J6</f>
        <v>1.1154581583333334</v>
      </c>
    </row>
    <row r="22" spans="1:20" ht="20.100000000000001" customHeight="1">
      <c r="A22" s="15">
        <v>13</v>
      </c>
      <c r="B22" s="15" t="str">
        <f t="shared" si="0"/>
        <v>142A</v>
      </c>
      <c r="C22" s="15" t="str">
        <f>+'R120638-A'!A20</f>
        <v>TORNO</v>
      </c>
      <c r="D22" s="251" t="str">
        <f>+'R120638-A'!C20</f>
        <v>CH.- Posicionar cabezales, cerrar puertas e iniciar programa de medición.</v>
      </c>
      <c r="E22" s="252"/>
      <c r="F22" s="252"/>
      <c r="G22" s="252"/>
      <c r="H22" s="252"/>
      <c r="I22" s="253"/>
      <c r="J22" s="15" t="str">
        <f>+'R120638-A'!D20</f>
        <v>D</v>
      </c>
      <c r="K22" s="223">
        <v>5.0000000000000001E-4</v>
      </c>
      <c r="L22" s="16">
        <f>+'R120638-A'!N20</f>
        <v>5.0049999999999997E-4</v>
      </c>
      <c r="N22" s="27"/>
      <c r="O22" s="21"/>
      <c r="P22" s="20"/>
      <c r="Q22" s="26"/>
      <c r="R22" s="254" t="s">
        <v>10</v>
      </c>
      <c r="S22" s="255"/>
      <c r="T22" s="25">
        <f>+COMBINADOR!L6</f>
        <v>0.16197156563492057</v>
      </c>
    </row>
    <row r="23" spans="1:20" ht="20.100000000000001" customHeight="1">
      <c r="A23" s="15">
        <v>14</v>
      </c>
      <c r="B23" s="15" t="str">
        <f t="shared" si="0"/>
        <v>142A</v>
      </c>
      <c r="C23" s="15" t="str">
        <f>+'R120638-A'!A21</f>
        <v>TORNO</v>
      </c>
      <c r="D23" s="251" t="str">
        <f>+'R120638-A'!C21</f>
        <v>CH.-Medición de herramientas.</v>
      </c>
      <c r="E23" s="252"/>
      <c r="F23" s="252"/>
      <c r="G23" s="252"/>
      <c r="H23" s="252"/>
      <c r="I23" s="253"/>
      <c r="J23" s="15" t="str">
        <f>+'R120638-A'!D21</f>
        <v>D</v>
      </c>
      <c r="K23" s="223">
        <v>5.0000000000000001E-4</v>
      </c>
      <c r="L23" s="16">
        <f>+'R120638-A'!N21</f>
        <v>1.3749999999999999E-3</v>
      </c>
      <c r="N23" s="27"/>
      <c r="O23" s="21"/>
      <c r="P23" s="20"/>
      <c r="Q23" s="26"/>
      <c r="R23" s="254" t="s">
        <v>15</v>
      </c>
      <c r="S23" s="255"/>
      <c r="T23" s="25">
        <f>+COMBINADOR!J7</f>
        <v>0.96867813677045211</v>
      </c>
    </row>
    <row r="24" spans="1:20" ht="20.100000000000001" customHeight="1">
      <c r="A24" s="15">
        <v>15</v>
      </c>
      <c r="B24" s="15" t="str">
        <f t="shared" si="0"/>
        <v>142A</v>
      </c>
      <c r="C24" s="15" t="str">
        <f>+'R120638-A'!A22</f>
        <v>TORNO</v>
      </c>
      <c r="D24" s="251" t="str">
        <f>+'R120638-A'!C22</f>
        <v>CH.- Hacer pieza y medir hasta corregir,</v>
      </c>
      <c r="E24" s="252"/>
      <c r="F24" s="252"/>
      <c r="G24" s="252"/>
      <c r="H24" s="252"/>
      <c r="I24" s="253"/>
      <c r="J24" s="15" t="str">
        <f>+'R120638-A'!D22</f>
        <v>D</v>
      </c>
      <c r="K24" s="223">
        <v>5.0000000000000001E-4</v>
      </c>
      <c r="L24" s="16">
        <f>+'R120638-A'!N22</f>
        <v>4.2900000000000004E-3</v>
      </c>
      <c r="N24" s="27"/>
      <c r="O24" s="21"/>
      <c r="P24" s="20"/>
      <c r="Q24" s="26"/>
      <c r="R24" s="254" t="s">
        <v>215</v>
      </c>
      <c r="S24" s="255"/>
      <c r="T24" s="26">
        <f>+COMBINADOR!J4</f>
        <v>0.93075000000000008</v>
      </c>
    </row>
    <row r="25" spans="1:20" ht="20.100000000000001" customHeight="1">
      <c r="A25" s="15">
        <v>16</v>
      </c>
      <c r="B25" s="15" t="str">
        <f t="shared" si="0"/>
        <v>142A</v>
      </c>
      <c r="C25" s="15" t="str">
        <f>+'R120638-A'!A23</f>
        <v>TORNO</v>
      </c>
      <c r="D25" s="251" t="str">
        <f>+'R120638-A'!C23</f>
        <v>CH.- Llenado de cinta de paso torno-talladora.</v>
      </c>
      <c r="E25" s="252"/>
      <c r="F25" s="252"/>
      <c r="G25" s="252"/>
      <c r="H25" s="252"/>
      <c r="I25" s="253"/>
      <c r="J25" s="15" t="str">
        <f>+'R120638-A'!D23</f>
        <v>D</v>
      </c>
      <c r="K25" s="223">
        <v>5.0000000000000001E-4</v>
      </c>
      <c r="L25" s="16">
        <f>+'R120638-A'!N23</f>
        <v>6.0775000000000004E-3</v>
      </c>
      <c r="N25" s="27"/>
      <c r="O25" s="21"/>
      <c r="P25" s="20"/>
      <c r="Q25" s="26"/>
      <c r="R25" s="254" t="s">
        <v>216</v>
      </c>
      <c r="S25" s="255"/>
      <c r="T25" s="26">
        <f>+COMBINADOR!J12</f>
        <v>0</v>
      </c>
    </row>
    <row r="26" spans="1:20" ht="20.100000000000001" customHeight="1">
      <c r="A26" s="15">
        <v>17</v>
      </c>
      <c r="B26" s="15" t="str">
        <f t="shared" si="0"/>
        <v>142A</v>
      </c>
      <c r="C26" s="15" t="str">
        <f>+'R120638-A'!A24</f>
        <v>TORNO</v>
      </c>
      <c r="D26" s="251" t="str">
        <f>+'R120638-A'!C24</f>
        <v>CH.-Rearmar talladora.</v>
      </c>
      <c r="E26" s="252"/>
      <c r="F26" s="252"/>
      <c r="G26" s="252"/>
      <c r="H26" s="252"/>
      <c r="I26" s="253"/>
      <c r="J26" s="15" t="str">
        <f>+'R120638-A'!D24</f>
        <v>D</v>
      </c>
      <c r="K26" s="223">
        <v>5.0000000000000001E-4</v>
      </c>
      <c r="L26" s="16">
        <f>+'R120638-A'!N24</f>
        <v>3.5750000000000007E-4</v>
      </c>
      <c r="N26" s="27"/>
      <c r="O26" s="21"/>
      <c r="P26" s="20"/>
      <c r="Q26" s="26"/>
      <c r="R26" s="262" t="s">
        <v>203</v>
      </c>
      <c r="S26" s="263"/>
      <c r="T26" s="264"/>
    </row>
    <row r="27" spans="1:20" ht="20.100000000000001" customHeight="1">
      <c r="A27" s="15">
        <v>18</v>
      </c>
      <c r="B27" s="15" t="str">
        <f t="shared" si="0"/>
        <v>142A</v>
      </c>
      <c r="C27" s="15" t="str">
        <f>+'R120638-A'!A25</f>
        <v>TORNO</v>
      </c>
      <c r="D27" s="251" t="str">
        <f>+'R120638-A'!C25</f>
        <v>Medir pieza en inicio de turno. MEDICIÓN=0,691</v>
      </c>
      <c r="E27" s="252"/>
      <c r="F27" s="252"/>
      <c r="G27" s="252"/>
      <c r="H27" s="252"/>
      <c r="I27" s="253"/>
      <c r="J27" s="15" t="str">
        <f>+'R120638-A'!D25</f>
        <v>R</v>
      </c>
      <c r="K27" s="17">
        <f>+'R120638-A'!M25</f>
        <v>2.5000000000000001E-3</v>
      </c>
      <c r="L27" s="16">
        <f>+'R120638-A'!N25</f>
        <v>1.7349999999999996E-3</v>
      </c>
      <c r="N27" s="27"/>
      <c r="O27" s="21"/>
      <c r="P27" s="20"/>
      <c r="Q27" s="26"/>
      <c r="R27" s="254" t="s">
        <v>3</v>
      </c>
      <c r="S27" s="255"/>
      <c r="T27" s="25">
        <f>+COMBINADOR!L6</f>
        <v>0.16197156563492057</v>
      </c>
    </row>
    <row r="28" spans="1:20" ht="20.100000000000001" customHeight="1">
      <c r="A28" s="15">
        <v>19</v>
      </c>
      <c r="B28" s="15" t="str">
        <f t="shared" si="0"/>
        <v>142A</v>
      </c>
      <c r="C28" s="15" t="str">
        <f>+'R120638-A'!A26</f>
        <v>TALLADORA</v>
      </c>
      <c r="D28" s="251" t="str">
        <f>+'R120638-A'!C26</f>
        <v>TALLAR</v>
      </c>
      <c r="E28" s="252"/>
      <c r="F28" s="252"/>
      <c r="G28" s="252"/>
      <c r="H28" s="252"/>
      <c r="I28" s="253"/>
      <c r="J28" s="15" t="str">
        <f>+'R120638-A'!D26</f>
        <v>M</v>
      </c>
      <c r="K28" s="17">
        <f>+'R120638-A'!M26</f>
        <v>1</v>
      </c>
      <c r="L28" s="16">
        <f>+'R120638-A'!N26</f>
        <v>0.95</v>
      </c>
      <c r="N28" s="39"/>
      <c r="O28" s="23"/>
      <c r="P28" s="22"/>
      <c r="Q28" s="41"/>
      <c r="R28" s="254" t="s">
        <v>10</v>
      </c>
      <c r="S28" s="255"/>
      <c r="T28" s="25">
        <f>+COMBINADOR!P6</f>
        <v>0.11732868261904762</v>
      </c>
    </row>
    <row r="29" spans="1:20" ht="20.100000000000001" customHeight="1">
      <c r="A29" s="15">
        <v>20</v>
      </c>
      <c r="B29" s="15" t="str">
        <f t="shared" si="0"/>
        <v>142A</v>
      </c>
      <c r="C29" s="15" t="str">
        <f>+'R120638-A'!A27</f>
        <v>TALLADORA</v>
      </c>
      <c r="D29" s="251" t="str">
        <f>+'R120638-A'!C27</f>
        <v>Soplar con manguera de aire pieza a verificar.</v>
      </c>
      <c r="E29" s="252"/>
      <c r="F29" s="252"/>
      <c r="G29" s="252"/>
      <c r="H29" s="252"/>
      <c r="I29" s="253"/>
      <c r="J29" s="15" t="str">
        <f>+'R120638-A'!D27</f>
        <v>R</v>
      </c>
      <c r="K29" s="17">
        <f>+'R120638-A'!M27</f>
        <v>5.0000000000000001E-3</v>
      </c>
      <c r="L29" s="16">
        <f>+'R120638-A'!N27</f>
        <v>9.2400000000000013E-4</v>
      </c>
      <c r="N29" s="272" t="s">
        <v>221</v>
      </c>
      <c r="O29" s="273"/>
      <c r="P29" s="273"/>
      <c r="Q29" s="13">
        <v>1</v>
      </c>
      <c r="R29" s="254" t="s">
        <v>15</v>
      </c>
      <c r="S29" s="255"/>
      <c r="T29" s="25">
        <f>+COMBINADOR!N7</f>
        <v>4.4151218839377293</v>
      </c>
    </row>
    <row r="30" spans="1:20" ht="20.100000000000001" customHeight="1">
      <c r="A30" s="15">
        <v>21</v>
      </c>
      <c r="B30" s="15" t="str">
        <f t="shared" si="0"/>
        <v>142A</v>
      </c>
      <c r="C30" s="15" t="str">
        <f>+'R120638-A'!A28</f>
        <v>TALLADORA</v>
      </c>
      <c r="D30" s="251" t="str">
        <f>+'R120638-A'!C28</f>
        <v>Tol. Verificar con micro de platillos. 36,07-36,04. F-72=,114+,072=,186</v>
      </c>
      <c r="E30" s="252"/>
      <c r="F30" s="252"/>
      <c r="G30" s="252"/>
      <c r="H30" s="252"/>
      <c r="I30" s="253"/>
      <c r="J30" s="15" t="str">
        <f>+'R120638-A'!D28</f>
        <v>R</v>
      </c>
      <c r="K30" s="17">
        <f>+'R120638-A'!M28</f>
        <v>5.0000000000000001E-3</v>
      </c>
      <c r="L30" s="16">
        <f>+'R120638-A'!N28</f>
        <v>9.3000000000000016E-4</v>
      </c>
      <c r="N30" s="274" t="s">
        <v>222</v>
      </c>
      <c r="O30" s="275"/>
      <c r="P30" s="275"/>
      <c r="Q30" s="276"/>
      <c r="R30" s="254" t="s">
        <v>215</v>
      </c>
      <c r="S30" s="255"/>
      <c r="T30" s="26">
        <f>+COMBINADOR!N4</f>
        <v>3.8</v>
      </c>
    </row>
    <row r="31" spans="1:20" ht="20.100000000000001" customHeight="1">
      <c r="A31" s="15">
        <v>22</v>
      </c>
      <c r="B31" s="15" t="str">
        <f t="shared" si="0"/>
        <v>142A</v>
      </c>
      <c r="C31" s="15" t="str">
        <f>+'R120638-A'!A29</f>
        <v>MARCADORA</v>
      </c>
      <c r="D31" s="251" t="str">
        <f>+'R120638-A'!C29</f>
        <v>MARCAR</v>
      </c>
      <c r="E31" s="252"/>
      <c r="F31" s="252"/>
      <c r="G31" s="252"/>
      <c r="H31" s="252"/>
      <c r="I31" s="253"/>
      <c r="J31" s="15" t="str">
        <f>+'R120638-A'!D29</f>
        <v>M</v>
      </c>
      <c r="K31" s="17">
        <f>+'R120638-A'!M29</f>
        <v>1</v>
      </c>
      <c r="L31" s="16">
        <f>+'R120638-A'!N29</f>
        <v>0.5</v>
      </c>
      <c r="N31" s="277"/>
      <c r="O31" s="278"/>
      <c r="P31" s="278"/>
      <c r="Q31" s="279"/>
      <c r="R31" s="254" t="s">
        <v>216</v>
      </c>
      <c r="S31" s="255"/>
      <c r="T31" s="26">
        <f>+COMBINADOR!N12</f>
        <v>3.48066143807233E-2</v>
      </c>
    </row>
    <row r="32" spans="1:20" ht="20.100000000000001" customHeight="1">
      <c r="A32" s="15">
        <v>23</v>
      </c>
      <c r="B32" s="15" t="str">
        <f t="shared" si="0"/>
        <v>142A</v>
      </c>
      <c r="C32" s="15" t="str">
        <f>+'R120638-A'!A30</f>
        <v>AFEITADORA</v>
      </c>
      <c r="D32" s="251" t="str">
        <f>+'R120638-A'!C30</f>
        <v>AFEITAR</v>
      </c>
      <c r="E32" s="252"/>
      <c r="F32" s="252"/>
      <c r="G32" s="252"/>
      <c r="H32" s="252"/>
      <c r="I32" s="253"/>
      <c r="J32" s="15" t="str">
        <f>+'R120638-A'!D30</f>
        <v>MC</v>
      </c>
      <c r="K32" s="17">
        <f>+'R120638-A'!M30</f>
        <v>1</v>
      </c>
      <c r="L32" s="16">
        <f>+'R120638-A'!N30</f>
        <v>1.06</v>
      </c>
      <c r="N32" s="277"/>
      <c r="O32" s="278"/>
      <c r="P32" s="278"/>
      <c r="Q32" s="279"/>
      <c r="R32" s="27"/>
      <c r="T32" s="26"/>
    </row>
    <row r="33" spans="1:20" ht="21" customHeight="1" thickBot="1">
      <c r="A33" s="15">
        <v>24</v>
      </c>
      <c r="B33" s="15" t="str">
        <f t="shared" si="0"/>
        <v>142A</v>
      </c>
      <c r="C33" s="15" t="str">
        <f>+'R120638-A'!A31</f>
        <v>AFEITADORA</v>
      </c>
      <c r="D33" s="251" t="str">
        <f>+'R120638-A'!C31</f>
        <v>Soplar con manguera de aire pieza a verificar.</v>
      </c>
      <c r="E33" s="252"/>
      <c r="F33" s="252"/>
      <c r="G33" s="252"/>
      <c r="H33" s="252"/>
      <c r="I33" s="253"/>
      <c r="J33" s="15" t="str">
        <f>+'R120638-A'!D31</f>
        <v>R</v>
      </c>
      <c r="K33" s="17">
        <f>+'R120638-A'!M31</f>
        <v>5.0000000000000001E-3</v>
      </c>
      <c r="L33" s="16">
        <f>+'R120638-A'!N31</f>
        <v>9.2400000000000013E-4</v>
      </c>
      <c r="N33" s="280"/>
      <c r="O33" s="281"/>
      <c r="P33" s="281"/>
      <c r="Q33" s="282"/>
      <c r="R33" s="28"/>
      <c r="S33" s="29"/>
      <c r="T33" s="30"/>
    </row>
    <row r="34" spans="1:20" ht="27.75" customHeight="1" thickTop="1">
      <c r="A34" s="15">
        <v>25</v>
      </c>
      <c r="B34" s="15" t="str">
        <f t="shared" si="0"/>
        <v>142A</v>
      </c>
      <c r="C34" s="15" t="str">
        <f>+'R120638-A'!A32</f>
        <v>AFEITADORA</v>
      </c>
      <c r="D34" s="251" t="str">
        <f>+'R120638-A'!C32</f>
        <v>Tol. Verificar con micro de platillos. 36,00-35,97. F-72=,114+,072=,186</v>
      </c>
      <c r="E34" s="252"/>
      <c r="F34" s="252"/>
      <c r="G34" s="252"/>
      <c r="H34" s="252"/>
      <c r="I34" s="253"/>
      <c r="J34" s="15" t="str">
        <f>+'R120638-A'!D32</f>
        <v>R</v>
      </c>
      <c r="K34" s="17">
        <f>+'R120638-A'!M32</f>
        <v>5.0000000000000001E-3</v>
      </c>
      <c r="L34" s="16">
        <f>+'R120638-A'!N32</f>
        <v>9.3000000000000016E-4</v>
      </c>
    </row>
    <row r="35" spans="1:20" ht="20.100000000000001" customHeight="1">
      <c r="A35" s="15">
        <v>26</v>
      </c>
      <c r="B35" s="15" t="str">
        <f t="shared" si="0"/>
        <v>142A</v>
      </c>
      <c r="C35" s="15" t="str">
        <f>+'R120638-A'!A33</f>
        <v>AFEITADORA</v>
      </c>
      <c r="D35" s="251" t="str">
        <f>+'R120638-A'!C33</f>
        <v>Tol. Verificar visual rebaba y chaflan</v>
      </c>
      <c r="E35" s="252"/>
      <c r="F35" s="252"/>
      <c r="G35" s="252"/>
      <c r="H35" s="252"/>
      <c r="I35" s="253"/>
      <c r="J35" s="15" t="str">
        <f>+'R120638-A'!D33</f>
        <v>R</v>
      </c>
      <c r="K35" s="17">
        <f>+'R120638-A'!M33</f>
        <v>5.0000000000000001E-3</v>
      </c>
      <c r="L35" s="16">
        <f>+'R120638-A'!N33</f>
        <v>9.3000000000000016E-4</v>
      </c>
    </row>
    <row r="36" spans="1:20" ht="20.100000000000001" customHeight="1">
      <c r="A36" s="15">
        <v>27</v>
      </c>
      <c r="B36" s="15" t="str">
        <f t="shared" si="0"/>
        <v>142A</v>
      </c>
      <c r="C36" s="15" t="str">
        <f>+'R120638-A'!A34</f>
        <v>AFEITADORA</v>
      </c>
      <c r="D36" s="251" t="str">
        <f>+'R120638-A'!C34</f>
        <v>Tol. Verificación visual de referencia.</v>
      </c>
      <c r="E36" s="252"/>
      <c r="F36" s="252"/>
      <c r="G36" s="252"/>
      <c r="H36" s="252"/>
      <c r="I36" s="253"/>
      <c r="J36" s="15" t="str">
        <f>+'R120638-A'!D34</f>
        <v>R</v>
      </c>
      <c r="K36" s="17">
        <f>+'R120638-A'!M34</f>
        <v>5.0000000000000001E-3</v>
      </c>
      <c r="L36" s="16">
        <f>+'R120638-A'!N34</f>
        <v>3.3E-4</v>
      </c>
    </row>
    <row r="37" spans="1:20" ht="20.100000000000001" customHeight="1">
      <c r="A37" s="15">
        <v>28</v>
      </c>
      <c r="B37" s="15" t="str">
        <f t="shared" si="0"/>
        <v>142A</v>
      </c>
      <c r="C37" s="15" t="str">
        <f>+'R120638-A'!A35</f>
        <v>CELULA</v>
      </c>
      <c r="D37" s="251" t="str">
        <f>+'R120638-A'!C35</f>
        <v>Descargar piezas de carril de afeitadora a percha.</v>
      </c>
      <c r="E37" s="252"/>
      <c r="F37" s="252"/>
      <c r="G37" s="252"/>
      <c r="H37" s="252"/>
      <c r="I37" s="253"/>
      <c r="J37" s="15" t="str">
        <f>+'R120638-A'!D35</f>
        <v>R</v>
      </c>
      <c r="K37" s="17">
        <f>+'R120638-A'!M35</f>
        <v>1.6666666666666666E-2</v>
      </c>
      <c r="L37" s="16">
        <f>+'R120638-A'!N35</f>
        <v>7.6635999999999996E-2</v>
      </c>
    </row>
    <row r="38" spans="1:20" ht="20.100000000000001" customHeight="1">
      <c r="A38" s="15">
        <v>29</v>
      </c>
      <c r="B38" s="15" t="str">
        <f t="shared" si="0"/>
        <v>142A</v>
      </c>
      <c r="C38" s="15" t="str">
        <f>+'R120638-A'!A36</f>
        <v>AFEITADORA</v>
      </c>
      <c r="D38" s="251" t="str">
        <f>+'R120638-A'!C36</f>
        <v>Posicionarse vacio en bandeja de piezas sin procesar. 10m G958=0,166</v>
      </c>
      <c r="E38" s="252"/>
      <c r="F38" s="252"/>
      <c r="G38" s="252"/>
      <c r="H38" s="252"/>
      <c r="I38" s="253"/>
      <c r="J38" s="15" t="str">
        <f>+'R120638-A'!D36</f>
        <v>R</v>
      </c>
      <c r="K38" s="17">
        <f>+'R120638-A'!M36</f>
        <v>1.6666666666666666E-2</v>
      </c>
      <c r="L38" s="16">
        <f>+'R120638-A'!N36</f>
        <v>2.7666666666666668E-3</v>
      </c>
    </row>
    <row r="39" spans="1:20" ht="20.100000000000001" customHeight="1">
      <c r="A39" s="15">
        <v>30</v>
      </c>
      <c r="B39" s="15" t="str">
        <f t="shared" si="0"/>
        <v>142A</v>
      </c>
      <c r="C39" s="15" t="str">
        <f>+'R120638-A'!A37</f>
        <v>VARIOS</v>
      </c>
      <c r="D39" s="251" t="str">
        <f>+'R120638-A'!C37</f>
        <v>Traslado a zona de trabajo, según porceda. (20m G-982= 0,323)</v>
      </c>
      <c r="E39" s="252"/>
      <c r="F39" s="252"/>
      <c r="G39" s="252"/>
      <c r="H39" s="252"/>
      <c r="I39" s="253"/>
      <c r="J39" s="15" t="str">
        <f>+'R120638-A'!D37</f>
        <v>R</v>
      </c>
      <c r="K39" s="17">
        <f>+'R120638-A'!M37</f>
        <v>0.04</v>
      </c>
      <c r="L39" s="16">
        <f>+'R120638-A'!N37</f>
        <v>1.2920000000000003E-2</v>
      </c>
    </row>
    <row r="40" spans="1:20" ht="20.100000000000001" customHeight="1">
      <c r="A40" s="15">
        <v>31</v>
      </c>
      <c r="B40" s="15" t="str">
        <f t="shared" si="0"/>
        <v>142A</v>
      </c>
      <c r="C40" s="15" t="str">
        <f>+'R120638-A'!A38</f>
        <v>CELULA</v>
      </c>
      <c r="D40" s="251" t="str">
        <f>+'R120638-A'!C38</f>
        <v>Limpiar virutas de torno con manguera de aire y gancho.</v>
      </c>
      <c r="E40" s="252"/>
      <c r="F40" s="252"/>
      <c r="G40" s="252"/>
      <c r="H40" s="252"/>
      <c r="I40" s="253"/>
      <c r="J40" s="15" t="str">
        <f>+'R120638-A'!D38</f>
        <v>D</v>
      </c>
      <c r="K40" s="17">
        <f>+'R120638-A'!M38</f>
        <v>2.5000000000000001E-3</v>
      </c>
      <c r="L40" s="16">
        <f>+'R120638-A'!N38</f>
        <v>1.8816000000000002E-3</v>
      </c>
    </row>
    <row r="41" spans="1:20" ht="20.100000000000001" customHeight="1">
      <c r="A41" s="15">
        <v>32</v>
      </c>
      <c r="B41" s="15" t="str">
        <f t="shared" si="0"/>
        <v>142A</v>
      </c>
      <c r="C41" s="15" t="str">
        <f>+'R120638-A'!A39</f>
        <v>CELULA</v>
      </c>
      <c r="D41" s="251" t="str">
        <f>+'R120638-A'!C39</f>
        <v>Limpiar virutas de talladora con manguera de aire.</v>
      </c>
      <c r="E41" s="252"/>
      <c r="F41" s="252"/>
      <c r="G41" s="252"/>
      <c r="H41" s="252"/>
      <c r="I41" s="253"/>
      <c r="J41" s="15" t="str">
        <f>+'R120638-A'!D39</f>
        <v>D</v>
      </c>
      <c r="K41" s="17">
        <f>+'R120638-A'!M39</f>
        <v>2.5000000000000001E-3</v>
      </c>
      <c r="L41" s="16">
        <f>+'R120638-A'!N39</f>
        <v>2.0930000000000002E-3</v>
      </c>
    </row>
    <row r="42" spans="1:20" ht="20.100000000000001" customHeight="1">
      <c r="A42" s="15">
        <v>33</v>
      </c>
      <c r="B42" s="15" t="str">
        <f t="shared" si="0"/>
        <v>142A</v>
      </c>
      <c r="C42" s="15" t="str">
        <f>+'R120638-A'!A40</f>
        <v>VARIOS</v>
      </c>
      <c r="D42" s="251" t="str">
        <f>+'R120638-A'!C40</f>
        <v>Girar bandeja de piezas 180º</v>
      </c>
      <c r="E42" s="252"/>
      <c r="F42" s="252"/>
      <c r="G42" s="252"/>
      <c r="H42" s="252"/>
      <c r="I42" s="253"/>
      <c r="J42" s="15" t="str">
        <f>+'R120638-A'!D40</f>
        <v>R</v>
      </c>
      <c r="K42" s="17">
        <f>+'R120638-A'!M40</f>
        <v>2.6041666666666665E-3</v>
      </c>
      <c r="L42" s="16">
        <f>+'R120638-A'!N40</f>
        <v>5.7291666666666667E-4</v>
      </c>
    </row>
    <row r="43" spans="1:20" ht="20.100000000000001" customHeight="1">
      <c r="A43" s="15">
        <v>34</v>
      </c>
      <c r="B43" s="15" t="str">
        <f t="shared" si="0"/>
        <v>142A</v>
      </c>
      <c r="C43" s="15" t="str">
        <f>+'R120638-A'!A41</f>
        <v>BIN PICKING</v>
      </c>
      <c r="D43" s="251" t="str">
        <f>+'R120638-A'!C41</f>
        <v>Cambio de carga bandejas PSP</v>
      </c>
      <c r="E43" s="252"/>
      <c r="F43" s="252"/>
      <c r="G43" s="252"/>
      <c r="H43" s="252"/>
      <c r="I43" s="253"/>
      <c r="J43" s="15" t="str">
        <f>+'R120638-A'!D41</f>
        <v>R</v>
      </c>
      <c r="K43" s="17">
        <f>+'R120638-A'!M41</f>
        <v>1.8315018315018315E-3</v>
      </c>
      <c r="L43" s="16">
        <f>+'R120638-A'!N41</f>
        <v>1.0395604395604397E-2</v>
      </c>
    </row>
    <row r="44" spans="1:20" ht="20.100000000000001" customHeight="1">
      <c r="A44" s="15">
        <v>35</v>
      </c>
      <c r="B44" s="15" t="str">
        <f t="shared" si="0"/>
        <v>142A</v>
      </c>
      <c r="C44" s="15" t="str">
        <f>+'R120638-A'!A42</f>
        <v>CELULA</v>
      </c>
      <c r="D44" s="251" t="str">
        <f>+'R120638-A'!C42</f>
        <v>Cambio de carga bandejas PP</v>
      </c>
      <c r="E44" s="252"/>
      <c r="F44" s="252"/>
      <c r="G44" s="252"/>
      <c r="H44" s="252"/>
      <c r="I44" s="253"/>
      <c r="J44" s="15" t="str">
        <f>+'R120638-A'!D42</f>
        <v>R</v>
      </c>
      <c r="K44" s="17">
        <f>+'R120638-A'!M42</f>
        <v>1.3020833333333333E-3</v>
      </c>
      <c r="L44" s="16">
        <f>+'R120638-A'!N42</f>
        <v>8.4934895833333329E-3</v>
      </c>
    </row>
    <row r="45" spans="1:20" ht="20.100000000000001" customHeight="1">
      <c r="A45" s="15">
        <v>36</v>
      </c>
      <c r="B45" s="15" t="str">
        <f t="shared" si="0"/>
        <v>142A</v>
      </c>
      <c r="C45" s="15" t="str">
        <f>+'R120638-A'!A43</f>
        <v>VARIOS</v>
      </c>
      <c r="D45" s="251" t="str">
        <f>+'R120638-A'!C43</f>
        <v>Cumplementar parametros de control de calidad de forma manual.(1)</v>
      </c>
      <c r="E45" s="252"/>
      <c r="F45" s="252"/>
      <c r="G45" s="252"/>
      <c r="H45" s="252"/>
      <c r="I45" s="253"/>
      <c r="J45" s="15" t="str">
        <f>+'R120638-A'!D43</f>
        <v>R</v>
      </c>
      <c r="K45" s="17">
        <f>+'R120638-A'!M43</f>
        <v>0.01</v>
      </c>
      <c r="L45" s="16">
        <f>+'R120638-A'!N43</f>
        <v>4.4000000000000003E-3</v>
      </c>
    </row>
    <row r="46" spans="1:20" ht="28.5" customHeight="1">
      <c r="A46" s="15">
        <v>37</v>
      </c>
      <c r="B46" s="15" t="str">
        <f t="shared" si="0"/>
        <v>142A</v>
      </c>
      <c r="C46" s="15" t="str">
        <f>+'R120638-A'!A44</f>
        <v>VARIOS</v>
      </c>
      <c r="D46" s="251" t="str">
        <f>+'R120638-A'!C44</f>
        <v>Grabar datos registrados con pulsador.</v>
      </c>
      <c r="E46" s="252"/>
      <c r="F46" s="252"/>
      <c r="G46" s="252"/>
      <c r="H46" s="252"/>
      <c r="I46" s="253"/>
      <c r="J46" s="15" t="str">
        <f>+'R120638-A'!D44</f>
        <v>R</v>
      </c>
      <c r="K46" s="17">
        <f>+'R120638-A'!M44</f>
        <v>0.04</v>
      </c>
      <c r="L46" s="16">
        <f>+'R120638-A'!N44</f>
        <v>1.32E-3</v>
      </c>
    </row>
    <row r="47" spans="1:20" ht="20.100000000000001" customHeight="1">
      <c r="A47" s="15">
        <v>38</v>
      </c>
      <c r="B47" s="15" t="str">
        <f t="shared" si="0"/>
        <v>142A</v>
      </c>
      <c r="C47" s="15" t="str">
        <f>+'R120638-A'!A45</f>
        <v>VARIOS</v>
      </c>
      <c r="D47" s="251" t="str">
        <f>+'R120638-A'!C45</f>
        <v>Modificar pantalla, seleccionar referencia de combinación.</v>
      </c>
      <c r="E47" s="252"/>
      <c r="F47" s="252"/>
      <c r="G47" s="252"/>
      <c r="H47" s="252"/>
      <c r="I47" s="253"/>
      <c r="J47" s="15" t="str">
        <f>+'R120638-A'!D45</f>
        <v>R</v>
      </c>
      <c r="K47" s="17">
        <f>+'R120638-A'!M45</f>
        <v>2.5000000000000001E-3</v>
      </c>
      <c r="L47" s="16">
        <f>+'R120638-A'!N45</f>
        <v>1.3750000000000001E-3</v>
      </c>
    </row>
    <row r="48" spans="1:20" ht="23.25" customHeight="1">
      <c r="A48" s="15">
        <v>39</v>
      </c>
      <c r="B48" s="15" t="str">
        <f t="shared" si="0"/>
        <v>142A</v>
      </c>
      <c r="C48" s="15" t="str">
        <f>+'R120638-A'!A46</f>
        <v>CELULA</v>
      </c>
      <c r="D48" s="251" t="str">
        <f>+'R120638-A'!C46</f>
        <v>Limpiar pieza y secar</v>
      </c>
      <c r="E48" s="252"/>
      <c r="F48" s="252"/>
      <c r="G48" s="252"/>
      <c r="H48" s="252"/>
      <c r="I48" s="253"/>
      <c r="J48" s="15" t="str">
        <f>+'R120638-A'!D46</f>
        <v>R</v>
      </c>
      <c r="K48" s="17">
        <f>+'R120638-A'!M46</f>
        <v>2.5000000000000001E-3</v>
      </c>
      <c r="L48" s="16">
        <f>+'R120638-A'!N46</f>
        <v>2.4640000000000005E-3</v>
      </c>
    </row>
    <row r="49" spans="1:12" ht="20.100000000000001" customHeight="1">
      <c r="A49" s="15">
        <v>40</v>
      </c>
      <c r="B49" s="15" t="str">
        <f t="shared" si="0"/>
        <v>142A</v>
      </c>
      <c r="C49" s="15" t="str">
        <f>+'R120638-A'!A47</f>
        <v>CELULA</v>
      </c>
      <c r="D49" s="251" t="str">
        <f>+'R120638-A'!C47</f>
        <v xml:space="preserve">Desplazarse con pieza a verificación, apuntar referencia en papel y dejar. 20 Mts </v>
      </c>
      <c r="E49" s="252"/>
      <c r="F49" s="252"/>
      <c r="G49" s="252"/>
      <c r="H49" s="252"/>
      <c r="I49" s="253"/>
      <c r="J49" s="15" t="str">
        <f>+'R120638-A'!D47</f>
        <v>R</v>
      </c>
      <c r="K49" s="17">
        <f>+'R120638-A'!M47</f>
        <v>2.5000000000000001E-3</v>
      </c>
      <c r="L49" s="16">
        <f>+'R120638-A'!N47</f>
        <v>1.1725000000000001E-3</v>
      </c>
    </row>
    <row r="50" spans="1:12" ht="20.100000000000001" customHeight="1">
      <c r="A50" s="15">
        <v>41</v>
      </c>
      <c r="B50" s="15" t="str">
        <f t="shared" si="0"/>
        <v>142A</v>
      </c>
      <c r="C50" s="15" t="str">
        <f>+'R120638-A'!A48</f>
        <v>CELULA</v>
      </c>
      <c r="D50" s="251" t="str">
        <f>+'R120638-A'!C48</f>
        <v>Coger pieza y desplazarse a celula.40 MTS G-1041=,642</v>
      </c>
      <c r="E50" s="252"/>
      <c r="F50" s="252"/>
      <c r="G50" s="252"/>
      <c r="H50" s="252"/>
      <c r="I50" s="253"/>
      <c r="J50" s="15" t="str">
        <f>+'R120638-A'!D48</f>
        <v>R</v>
      </c>
      <c r="K50" s="17">
        <f>+'R120638-A'!M48</f>
        <v>2.5000000000000001E-3</v>
      </c>
      <c r="L50" s="16">
        <f>+'R120638-A'!N48</f>
        <v>1.6050000000000001E-3</v>
      </c>
    </row>
    <row r="51" spans="1:12" ht="20.100000000000001" customHeight="1">
      <c r="A51" s="15">
        <v>42</v>
      </c>
      <c r="B51" s="15" t="str">
        <f t="shared" si="0"/>
        <v>142A</v>
      </c>
      <c r="C51" s="15" t="str">
        <f>+'R120638-A'!A49</f>
        <v>CELULA</v>
      </c>
      <c r="D51" s="251" t="str">
        <f>+'R120638-A'!C49</f>
        <v>Coger pieza y desplazarse a celula. 30 MTS A-119=,076+,417=,492</v>
      </c>
      <c r="E51" s="252"/>
      <c r="F51" s="252"/>
      <c r="G51" s="252"/>
      <c r="H51" s="252"/>
      <c r="I51" s="253"/>
      <c r="J51" s="15" t="str">
        <f>+'R120638-A'!D49</f>
        <v>R</v>
      </c>
      <c r="K51" s="17">
        <f>+'R120638-A'!M49</f>
        <v>2.5000000000000001E-3</v>
      </c>
      <c r="L51" s="16">
        <f>+'R120638-A'!N49</f>
        <v>1.2300000000000002E-3</v>
      </c>
    </row>
    <row r="52" spans="1:12" ht="20.100000000000001" customHeight="1">
      <c r="A52" s="15">
        <v>43</v>
      </c>
      <c r="B52" s="15" t="str">
        <f>$D$4</f>
        <v>142B</v>
      </c>
      <c r="C52" s="15" t="str">
        <f>+'R120636-B'!A16</f>
        <v>TORNO</v>
      </c>
      <c r="D52" s="251" t="str">
        <f>+'R120636-B'!C16</f>
        <v>TORNEAR</v>
      </c>
      <c r="E52" s="252"/>
      <c r="F52" s="252"/>
      <c r="G52" s="252"/>
      <c r="H52" s="252"/>
      <c r="I52" s="253"/>
      <c r="J52" s="15" t="str">
        <f>+'R120636-B'!D16</f>
        <v>M</v>
      </c>
      <c r="K52" s="17">
        <f>+'R120636-B'!M16</f>
        <v>1</v>
      </c>
      <c r="L52" s="16">
        <f>+'R120636-B'!N16</f>
        <v>0.64</v>
      </c>
    </row>
    <row r="53" spans="1:12" ht="20.100000000000001" customHeight="1">
      <c r="A53" s="15">
        <v>44</v>
      </c>
      <c r="B53" s="15" t="str">
        <f t="shared" ref="B53:B91" si="1">$D$4</f>
        <v>142B</v>
      </c>
      <c r="C53" s="15" t="str">
        <f>+'R120636-B'!A17</f>
        <v>TORNO</v>
      </c>
      <c r="D53" s="251" t="str">
        <f>+'R120636-B'!C17</f>
        <v>Posicionarse vacio en zona de descarga de afeitadora.</v>
      </c>
      <c r="E53" s="252"/>
      <c r="F53" s="252"/>
      <c r="G53" s="252"/>
      <c r="H53" s="252"/>
      <c r="I53" s="253"/>
      <c r="J53" s="15" t="str">
        <f>+'R120636-B'!D17</f>
        <v>R</v>
      </c>
      <c r="K53" s="17">
        <f>+'R120636-B'!M17</f>
        <v>1.6666666666666666E-2</v>
      </c>
      <c r="L53" s="16">
        <f>+'R120636-B'!N17</f>
        <v>2.7666666666666668E-3</v>
      </c>
    </row>
    <row r="54" spans="1:12" ht="20.100000000000001" customHeight="1">
      <c r="A54" s="15">
        <v>45</v>
      </c>
      <c r="B54" s="15" t="str">
        <f t="shared" si="1"/>
        <v>142B</v>
      </c>
      <c r="C54" s="15" t="str">
        <f>+'R120636-B'!A18</f>
        <v>TORNO</v>
      </c>
      <c r="D54" s="251" t="str">
        <f>+'R120636-B'!C18</f>
        <v>Soplar con manguera de aire pieza a verificar.</v>
      </c>
      <c r="E54" s="252"/>
      <c r="F54" s="252"/>
      <c r="G54" s="252"/>
      <c r="H54" s="252"/>
      <c r="I54" s="253"/>
      <c r="J54" s="15" t="str">
        <f>+'R120636-B'!D18</f>
        <v>R</v>
      </c>
      <c r="K54" s="17">
        <f>+'R120636-B'!M18</f>
        <v>2.5000000000000001E-3</v>
      </c>
      <c r="L54" s="16">
        <f>+'R120636-B'!N18</f>
        <v>4.6200000000000006E-4</v>
      </c>
    </row>
    <row r="55" spans="1:12" ht="20.100000000000001" customHeight="1">
      <c r="A55" s="15">
        <v>46</v>
      </c>
      <c r="B55" s="15" t="str">
        <f t="shared" si="1"/>
        <v>142B</v>
      </c>
      <c r="C55" s="15" t="str">
        <f>+'R120636-B'!A19</f>
        <v>TORNO</v>
      </c>
      <c r="D55" s="251" t="str">
        <f>+'R120636-B'!C19</f>
        <v>Tol. Verificar con calibre de herradura.  Ø 90,15 ± 0,10 F 14=0,081+0,046=0,127</v>
      </c>
      <c r="E55" s="252"/>
      <c r="F55" s="252"/>
      <c r="G55" s="252"/>
      <c r="H55" s="252"/>
      <c r="I55" s="253"/>
      <c r="J55" s="15" t="str">
        <f>+'R120636-B'!D19</f>
        <v>R</v>
      </c>
      <c r="K55" s="17">
        <f>+'R120636-B'!M19</f>
        <v>2.5000000000000001E-3</v>
      </c>
      <c r="L55" s="16">
        <f>+'R120636-B'!N19</f>
        <v>3.1750000000000002E-4</v>
      </c>
    </row>
    <row r="56" spans="1:12" ht="20.100000000000001" customHeight="1">
      <c r="A56" s="15">
        <v>47</v>
      </c>
      <c r="B56" s="15" t="str">
        <f t="shared" si="1"/>
        <v>142B</v>
      </c>
      <c r="C56" s="15" t="str">
        <f>+'R120636-B'!A20</f>
        <v>TORNO</v>
      </c>
      <c r="D56" s="251" t="str">
        <f>+'R120636-B'!C20</f>
        <v>Tol. Verificar galga distancia 32 ± 0,2 y 16 ± 0,05</v>
      </c>
      <c r="E56" s="252"/>
      <c r="F56" s="252"/>
      <c r="G56" s="252"/>
      <c r="H56" s="252"/>
      <c r="I56" s="253"/>
      <c r="J56" s="15" t="str">
        <f>+'R120636-B'!D20</f>
        <v>R</v>
      </c>
      <c r="K56" s="17">
        <f>+'R120636-B'!M20</f>
        <v>2.5000000000000001E-3</v>
      </c>
      <c r="L56" s="16">
        <f>+'R120636-B'!N20</f>
        <v>7.5600000000000016E-4</v>
      </c>
    </row>
    <row r="57" spans="1:12" ht="20.100000000000001" customHeight="1">
      <c r="A57" s="15">
        <v>48</v>
      </c>
      <c r="B57" s="15" t="str">
        <f t="shared" si="1"/>
        <v>142B</v>
      </c>
      <c r="C57" s="15" t="str">
        <f>+'R120636-B'!A21</f>
        <v>TORNO</v>
      </c>
      <c r="D57" s="251" t="str">
        <f>+'R120636-B'!C21</f>
        <v>Tol. Verificar Salto entre caras. máximo 0,03</v>
      </c>
      <c r="E57" s="252"/>
      <c r="F57" s="252"/>
      <c r="G57" s="252"/>
      <c r="H57" s="252"/>
      <c r="I57" s="253"/>
      <c r="J57" s="15" t="str">
        <f>+'R120636-B'!D21</f>
        <v>R</v>
      </c>
      <c r="K57" s="17">
        <f>+'R120636-B'!M21</f>
        <v>2.5000000000000001E-3</v>
      </c>
      <c r="L57" s="16">
        <f>+'R120636-B'!N21</f>
        <v>7.000000000000001E-4</v>
      </c>
    </row>
    <row r="58" spans="1:12" ht="20.100000000000001" customHeight="1">
      <c r="A58" s="15">
        <v>49</v>
      </c>
      <c r="B58" s="15" t="str">
        <f t="shared" si="1"/>
        <v>142B</v>
      </c>
      <c r="C58" s="15" t="str">
        <f>+'R120636-B'!A22</f>
        <v>TORNO</v>
      </c>
      <c r="D58" s="251" t="str">
        <f>+'R120636-B'!C22</f>
        <v>Tol. Verificar calibre distancia 15 ± 0,05</v>
      </c>
      <c r="E58" s="252"/>
      <c r="F58" s="252"/>
      <c r="G58" s="252"/>
      <c r="H58" s="252"/>
      <c r="I58" s="253"/>
      <c r="J58" s="15" t="str">
        <f>+'R120636-B'!D22</f>
        <v>R</v>
      </c>
      <c r="K58" s="17">
        <f>+'R120636-B'!M22</f>
        <v>2.5000000000000001E-3</v>
      </c>
      <c r="L58" s="16">
        <f>+'R120636-B'!N22</f>
        <v>7.5600000000000016E-4</v>
      </c>
    </row>
    <row r="59" spans="1:12" ht="20.100000000000001" customHeight="1">
      <c r="A59" s="15">
        <v>50</v>
      </c>
      <c r="B59" s="15" t="str">
        <f t="shared" si="1"/>
        <v>142B</v>
      </c>
      <c r="C59" s="15" t="str">
        <f>+'R120636-B'!A23</f>
        <v>TORNO</v>
      </c>
      <c r="D59" s="251" t="str">
        <f>+'R120636-B'!C23</f>
        <v>Tol. Verificar Calibre cota (S) 13,50 ± 0,13</v>
      </c>
      <c r="E59" s="252"/>
      <c r="F59" s="252"/>
      <c r="G59" s="252"/>
      <c r="H59" s="252"/>
      <c r="I59" s="253"/>
      <c r="J59" s="15" t="str">
        <f>+'R120636-B'!D23</f>
        <v>R</v>
      </c>
      <c r="K59" s="17">
        <f>+'R120636-B'!M23</f>
        <v>2.5000000000000001E-3</v>
      </c>
      <c r="L59" s="16">
        <f>+'R120636-B'!N23</f>
        <v>4.2000000000000002E-4</v>
      </c>
    </row>
    <row r="60" spans="1:12" ht="20.100000000000001" customHeight="1">
      <c r="A60" s="15">
        <v>51</v>
      </c>
      <c r="B60" s="15" t="str">
        <f t="shared" si="1"/>
        <v>142B</v>
      </c>
      <c r="C60" s="15" t="str">
        <f>+'R120636-B'!A24</f>
        <v>TORNO</v>
      </c>
      <c r="D60" s="251" t="str">
        <f>+'R120636-B'!C24</f>
        <v>Tol. Verificar Calibre cono (S) 7º 9' 10'' ± 0,4º (±0,06 mm en el reloj)</v>
      </c>
      <c r="E60" s="252"/>
      <c r="F60" s="252"/>
      <c r="G60" s="252"/>
      <c r="H60" s="252"/>
      <c r="I60" s="253"/>
      <c r="J60" s="15" t="str">
        <f>+'R120636-B'!D24</f>
        <v>R</v>
      </c>
      <c r="K60" s="17">
        <f>+'R120636-B'!M24</f>
        <v>2.5000000000000001E-3</v>
      </c>
      <c r="L60" s="16">
        <f>+'R120636-B'!N24</f>
        <v>4.2000000000000002E-4</v>
      </c>
    </row>
    <row r="61" spans="1:12" ht="20.100000000000001" customHeight="1">
      <c r="A61" s="15">
        <v>52</v>
      </c>
      <c r="B61" s="15" t="str">
        <f t="shared" si="1"/>
        <v>142B</v>
      </c>
      <c r="C61" s="15" t="str">
        <f>+'R120636-B'!A25</f>
        <v>TALLADORA</v>
      </c>
      <c r="D61" s="251" t="str">
        <f>+'R120636-B'!C25</f>
        <v>TALLAR</v>
      </c>
      <c r="E61" s="252"/>
      <c r="F61" s="252"/>
      <c r="G61" s="252"/>
      <c r="H61" s="252"/>
      <c r="I61" s="253"/>
      <c r="J61" s="15" t="str">
        <f>+'R120636-B'!D25</f>
        <v>M</v>
      </c>
      <c r="K61" s="17">
        <f>+'R120636-B'!M25</f>
        <v>1</v>
      </c>
      <c r="L61" s="16">
        <f>+'R120636-B'!N25</f>
        <v>0.8</v>
      </c>
    </row>
    <row r="62" spans="1:12" ht="20.100000000000001" customHeight="1">
      <c r="A62" s="15">
        <v>53</v>
      </c>
      <c r="B62" s="15" t="str">
        <f t="shared" si="1"/>
        <v>142B</v>
      </c>
      <c r="C62" s="15" t="str">
        <f>+'R120636-B'!A26</f>
        <v>TALLADORA</v>
      </c>
      <c r="D62" s="251" t="str">
        <f>+'R120636-B'!C26</f>
        <v>Soplar con manguera de aire pieza a verificar.</v>
      </c>
      <c r="E62" s="252"/>
      <c r="F62" s="252"/>
      <c r="G62" s="252"/>
      <c r="H62" s="252"/>
      <c r="I62" s="253"/>
      <c r="J62" s="15" t="str">
        <f>+'R120636-B'!D26</f>
        <v>R</v>
      </c>
      <c r="K62" s="17">
        <f>+'R120636-B'!M26</f>
        <v>5.0000000000000001E-3</v>
      </c>
      <c r="L62" s="16">
        <f>+'R120636-B'!N26</f>
        <v>9.2400000000000013E-4</v>
      </c>
    </row>
    <row r="63" spans="1:12" ht="20.100000000000001" customHeight="1">
      <c r="A63" s="15">
        <v>54</v>
      </c>
      <c r="B63" s="15" t="str">
        <f t="shared" si="1"/>
        <v>142B</v>
      </c>
      <c r="C63" s="15" t="str">
        <f>+'R120636-B'!A27</f>
        <v>TALLADORA</v>
      </c>
      <c r="D63" s="251" t="str">
        <f>+'R120636-B'!C27</f>
        <v>Tol. Verificar micro de platillos. 36,57-36,60</v>
      </c>
      <c r="E63" s="252"/>
      <c r="F63" s="252"/>
      <c r="G63" s="252"/>
      <c r="H63" s="252"/>
      <c r="I63" s="253"/>
      <c r="J63" s="15" t="str">
        <f>+'R120636-B'!D27</f>
        <v>R</v>
      </c>
      <c r="K63" s="17">
        <f>+'R120636-B'!M27</f>
        <v>5.0000000000000001E-3</v>
      </c>
      <c r="L63" s="16">
        <f>+'R120636-B'!N27</f>
        <v>9.3000000000000016E-4</v>
      </c>
    </row>
    <row r="64" spans="1:12" ht="20.100000000000001" customHeight="1">
      <c r="A64" s="15">
        <v>55</v>
      </c>
      <c r="B64" s="15" t="str">
        <f t="shared" si="1"/>
        <v>142B</v>
      </c>
      <c r="C64" s="15" t="str">
        <f>+'R120636-B'!A28</f>
        <v>REBERBADORA</v>
      </c>
      <c r="D64" s="251" t="str">
        <f>+'R120636-B'!C28</f>
        <v>REBARBADORA</v>
      </c>
      <c r="E64" s="252"/>
      <c r="F64" s="252"/>
      <c r="G64" s="252"/>
      <c r="H64" s="252"/>
      <c r="I64" s="253"/>
      <c r="J64" s="15" t="str">
        <f>+'R120636-B'!D28</f>
        <v>M</v>
      </c>
      <c r="K64" s="17">
        <f>+'R120636-B'!M28</f>
        <v>1</v>
      </c>
      <c r="L64" s="16">
        <f>+'R120636-B'!N28</f>
        <v>0.05</v>
      </c>
    </row>
    <row r="65" spans="1:12" ht="20.100000000000001" customHeight="1">
      <c r="A65" s="15">
        <v>56</v>
      </c>
      <c r="B65" s="15" t="str">
        <f t="shared" si="1"/>
        <v>142B</v>
      </c>
      <c r="C65" s="15" t="str">
        <f>+'R120636-B'!A29</f>
        <v>AFEITADORA</v>
      </c>
      <c r="D65" s="251" t="str">
        <f>+'R120636-B'!C29</f>
        <v>AFEITAR</v>
      </c>
      <c r="E65" s="252"/>
      <c r="F65" s="252"/>
      <c r="G65" s="252"/>
      <c r="H65" s="252"/>
      <c r="I65" s="253"/>
      <c r="J65" s="15" t="str">
        <f>+'R120636-B'!D29</f>
        <v>MC</v>
      </c>
      <c r="K65" s="17">
        <f>+'R120636-B'!M29</f>
        <v>1</v>
      </c>
      <c r="L65" s="16">
        <f>+'R120636-B'!N29</f>
        <v>1</v>
      </c>
    </row>
    <row r="66" spans="1:12" ht="20.100000000000001" customHeight="1">
      <c r="A66" s="15">
        <v>57</v>
      </c>
      <c r="B66" s="15" t="str">
        <f t="shared" si="1"/>
        <v>142B</v>
      </c>
      <c r="C66" s="15" t="str">
        <f>+'R120636-B'!A30</f>
        <v>AFEITADORA</v>
      </c>
      <c r="D66" s="251" t="str">
        <f>+'R120636-B'!C30</f>
        <v>Soplar con manguera de aire pieza a verificar.</v>
      </c>
      <c r="E66" s="252"/>
      <c r="F66" s="252"/>
      <c r="G66" s="252"/>
      <c r="H66" s="252"/>
      <c r="I66" s="253"/>
      <c r="J66" s="15" t="str">
        <f>+'R120636-B'!D30</f>
        <v>R</v>
      </c>
      <c r="K66" s="17">
        <f>+'R120636-B'!M30</f>
        <v>5.0000000000000001E-3</v>
      </c>
      <c r="L66" s="16">
        <f>+'R120636-B'!N30</f>
        <v>9.2400000000000013E-4</v>
      </c>
    </row>
    <row r="67" spans="1:12" ht="20.100000000000001" customHeight="1">
      <c r="A67" s="15">
        <v>58</v>
      </c>
      <c r="B67" s="15" t="str">
        <f t="shared" si="1"/>
        <v>142B</v>
      </c>
      <c r="C67" s="15" t="str">
        <f>+'R120636-B'!A31</f>
        <v>AFEITADORA</v>
      </c>
      <c r="D67" s="251" t="str">
        <f>+'R120636-B'!C31</f>
        <v>Tol. Verificar micro de platillos.36,50 - 36,53</v>
      </c>
      <c r="E67" s="252"/>
      <c r="F67" s="252"/>
      <c r="G67" s="252"/>
      <c r="H67" s="252"/>
      <c r="I67" s="253"/>
      <c r="J67" s="15" t="str">
        <f>+'R120636-B'!D31</f>
        <v>R</v>
      </c>
      <c r="K67" s="17">
        <f>+'R120636-B'!M31</f>
        <v>5.0000000000000001E-3</v>
      </c>
      <c r="L67" s="16">
        <f>+'R120636-B'!N31</f>
        <v>9.3000000000000016E-4</v>
      </c>
    </row>
    <row r="68" spans="1:12" ht="20.100000000000001" customHeight="1">
      <c r="A68" s="15">
        <v>59</v>
      </c>
      <c r="B68" s="15" t="str">
        <f t="shared" si="1"/>
        <v>142B</v>
      </c>
      <c r="C68" s="15" t="str">
        <f>+'R120636-B'!A32</f>
        <v>AFEITADORA</v>
      </c>
      <c r="D68" s="251" t="str">
        <f>+'R120636-B'!C32</f>
        <v>Tol. Verificación visual de referencia.</v>
      </c>
      <c r="E68" s="252"/>
      <c r="F68" s="252"/>
      <c r="G68" s="252"/>
      <c r="H68" s="252"/>
      <c r="I68" s="253"/>
      <c r="J68" s="15" t="str">
        <f>+'R120636-B'!D32</f>
        <v>R</v>
      </c>
      <c r="K68" s="17">
        <f>+'R120636-B'!M32</f>
        <v>5.0000000000000001E-3</v>
      </c>
      <c r="L68" s="16">
        <f>+'R120636-B'!N32</f>
        <v>3.3E-4</v>
      </c>
    </row>
    <row r="69" spans="1:12" ht="20.100000000000001" customHeight="1">
      <c r="A69" s="15">
        <v>60</v>
      </c>
      <c r="B69" s="15" t="str">
        <f t="shared" si="1"/>
        <v>142B</v>
      </c>
      <c r="C69" s="15" t="str">
        <f>+'R120636-B'!A33</f>
        <v>AFEITADORA</v>
      </c>
      <c r="D69" s="251" t="str">
        <f>+'R120636-B'!C33</f>
        <v>Tol. Verificación visual chaflanado y reberbado</v>
      </c>
      <c r="E69" s="252"/>
      <c r="F69" s="252"/>
      <c r="G69" s="252"/>
      <c r="H69" s="252"/>
      <c r="I69" s="253"/>
      <c r="J69" s="15" t="str">
        <f>+'R120636-B'!D33</f>
        <v>R</v>
      </c>
      <c r="K69" s="17">
        <f>+'R120636-B'!M33</f>
        <v>5.0000000000000001E-3</v>
      </c>
      <c r="L69" s="16">
        <f>+'R120636-B'!N33</f>
        <v>3.3E-4</v>
      </c>
    </row>
    <row r="70" spans="1:12" ht="20.100000000000001" customHeight="1">
      <c r="A70" s="15">
        <v>61</v>
      </c>
      <c r="B70" s="15" t="str">
        <f t="shared" si="1"/>
        <v>142B</v>
      </c>
      <c r="C70" s="15" t="str">
        <f>+'R120636-B'!A34</f>
        <v>LAVADORA</v>
      </c>
      <c r="D70" s="251" t="str">
        <f>+'R120636-B'!C34</f>
        <v>LAVAR</v>
      </c>
      <c r="E70" s="252"/>
      <c r="F70" s="252"/>
      <c r="G70" s="252"/>
      <c r="H70" s="252"/>
      <c r="I70" s="253"/>
      <c r="J70" s="15" t="str">
        <f>+'R120636-B'!D34</f>
        <v>M</v>
      </c>
      <c r="K70" s="17">
        <f>+'R120636-B'!M34</f>
        <v>1</v>
      </c>
      <c r="L70" s="16">
        <f>+'R120636-B'!N34</f>
        <v>0.55000000000000004</v>
      </c>
    </row>
    <row r="71" spans="1:12" ht="20.100000000000001" customHeight="1">
      <c r="A71" s="15">
        <v>62</v>
      </c>
      <c r="B71" s="15" t="str">
        <f t="shared" si="1"/>
        <v>142B</v>
      </c>
      <c r="C71" s="15" t="str">
        <f>+'R120636-B'!A35</f>
        <v>CELULA</v>
      </c>
      <c r="D71" s="251" t="str">
        <f>+'R120636-B'!C35</f>
        <v>Descargar a percha hasta vaciar.</v>
      </c>
      <c r="E71" s="252"/>
      <c r="F71" s="252"/>
      <c r="G71" s="252"/>
      <c r="H71" s="252"/>
      <c r="I71" s="253"/>
      <c r="J71" s="15" t="str">
        <f>+'R120636-B'!D35</f>
        <v>R</v>
      </c>
      <c r="K71" s="17">
        <f>+'R120636-B'!M35</f>
        <v>1.6666666666666666E-2</v>
      </c>
      <c r="L71" s="16">
        <f>+'R120636-B'!N35</f>
        <v>7.9968000000000011E-2</v>
      </c>
    </row>
    <row r="72" spans="1:12" ht="20.100000000000001" customHeight="1">
      <c r="A72" s="15">
        <v>63</v>
      </c>
      <c r="B72" s="15" t="str">
        <f t="shared" si="1"/>
        <v>142B</v>
      </c>
      <c r="C72" s="15" t="str">
        <f>+'R120636-B'!A36</f>
        <v>LAVADORA</v>
      </c>
      <c r="D72" s="251" t="str">
        <f>+'R120636-B'!C36</f>
        <v>Posicionarse vacio en zona de trabajo.</v>
      </c>
      <c r="E72" s="252"/>
      <c r="F72" s="252"/>
      <c r="G72" s="252"/>
      <c r="H72" s="252"/>
      <c r="I72" s="253"/>
      <c r="J72" s="15" t="str">
        <f>+'R120636-B'!D36</f>
        <v>R</v>
      </c>
      <c r="K72" s="17">
        <f>+'R120636-B'!M36</f>
        <v>1.6666666666666666E-2</v>
      </c>
      <c r="L72" s="16">
        <f>+'R120636-B'!N36</f>
        <v>2.7666666666666668E-3</v>
      </c>
    </row>
    <row r="73" spans="1:12" ht="26.25" customHeight="1">
      <c r="A73" s="15">
        <v>64</v>
      </c>
      <c r="B73" s="15" t="str">
        <f t="shared" si="1"/>
        <v>142B</v>
      </c>
      <c r="C73" s="15" t="str">
        <f>+'R120636-B'!A37</f>
        <v>VARIOS</v>
      </c>
      <c r="D73" s="251" t="str">
        <f>+'R120636-B'!C37</f>
        <v>Traslado a zona de trabajo, según porceda. (20m G-982= 0,323)</v>
      </c>
      <c r="E73" s="252"/>
      <c r="F73" s="252"/>
      <c r="G73" s="252"/>
      <c r="H73" s="252"/>
      <c r="I73" s="253"/>
      <c r="J73" s="15" t="str">
        <f>+'R120636-B'!D37</f>
        <v>R</v>
      </c>
      <c r="K73" s="17">
        <f>+'R120636-B'!M37</f>
        <v>0.04</v>
      </c>
      <c r="L73" s="16">
        <f>+'R120636-B'!N37</f>
        <v>1.2920000000000003E-2</v>
      </c>
    </row>
    <row r="74" spans="1:12" ht="20.100000000000001" customHeight="1">
      <c r="A74" s="15">
        <v>65</v>
      </c>
      <c r="B74" s="15" t="str">
        <f t="shared" si="1"/>
        <v>142B</v>
      </c>
      <c r="C74" s="15" t="str">
        <f>+'R120636-B'!A38</f>
        <v>CELULA</v>
      </c>
      <c r="D74" s="251" t="str">
        <f>+'R120636-B'!C38</f>
        <v>Limpiar virutas de torno con manguera de aire y gancho.</v>
      </c>
      <c r="E74" s="252"/>
      <c r="F74" s="252"/>
      <c r="G74" s="252"/>
      <c r="H74" s="252"/>
      <c r="I74" s="253"/>
      <c r="J74" s="15" t="str">
        <f>+'R120636-B'!D38</f>
        <v>D</v>
      </c>
      <c r="K74" s="17">
        <f>+'R120636-B'!M38</f>
        <v>2.5000000000000001E-3</v>
      </c>
      <c r="L74" s="16">
        <f>+'R120636-B'!N38</f>
        <v>1.8816000000000002E-3</v>
      </c>
    </row>
    <row r="75" spans="1:12" ht="20.100000000000001" customHeight="1">
      <c r="A75" s="15">
        <v>66</v>
      </c>
      <c r="B75" s="15" t="str">
        <f t="shared" si="1"/>
        <v>142B</v>
      </c>
      <c r="C75" s="15" t="str">
        <f>+'R120636-B'!A39</f>
        <v>CELULA</v>
      </c>
      <c r="D75" s="251" t="str">
        <f>+'R120636-B'!C39</f>
        <v>Limpiar virutas de talladora con manguera de aire.</v>
      </c>
      <c r="E75" s="252"/>
      <c r="F75" s="252"/>
      <c r="G75" s="252"/>
      <c r="H75" s="252"/>
      <c r="I75" s="253"/>
      <c r="J75" s="15" t="str">
        <f>+'R120636-B'!D39</f>
        <v>D</v>
      </c>
      <c r="K75" s="17">
        <f>+'R120636-B'!M39</f>
        <v>2.5000000000000001E-3</v>
      </c>
      <c r="L75" s="16">
        <f>+'R120636-B'!N39</f>
        <v>2.0930000000000002E-3</v>
      </c>
    </row>
    <row r="76" spans="1:12" ht="20.100000000000001" customHeight="1">
      <c r="A76" s="15">
        <v>67</v>
      </c>
      <c r="B76" s="15" t="str">
        <f t="shared" si="1"/>
        <v>142B</v>
      </c>
      <c r="C76" s="15" t="str">
        <f>+'R120636-B'!A40</f>
        <v>VARIOS</v>
      </c>
      <c r="D76" s="251" t="str">
        <f>+'R120636-B'!C40</f>
        <v>Girar bandeja de piezas 180º</v>
      </c>
      <c r="E76" s="252"/>
      <c r="F76" s="252"/>
      <c r="G76" s="252"/>
      <c r="H76" s="252"/>
      <c r="I76" s="253"/>
      <c r="J76" s="15" t="str">
        <f>+'R120636-B'!D40</f>
        <v>R</v>
      </c>
      <c r="K76" s="17">
        <f>+'R120636-B'!M40</f>
        <v>2.6041666666666665E-3</v>
      </c>
      <c r="L76" s="16">
        <f>+'R120636-B'!N40</f>
        <v>5.7291666666666667E-4</v>
      </c>
    </row>
    <row r="77" spans="1:12" ht="20.100000000000001" customHeight="1">
      <c r="A77" s="15">
        <v>68</v>
      </c>
      <c r="B77" s="15" t="str">
        <f t="shared" si="1"/>
        <v>142B</v>
      </c>
      <c r="C77" s="15" t="str">
        <f>+'R120636-B'!A41</f>
        <v>BIN PICKING</v>
      </c>
      <c r="D77" s="251" t="str">
        <f>+'R120636-B'!C41</f>
        <v xml:space="preserve">Cambio de carga bandejas PSP </v>
      </c>
      <c r="E77" s="252"/>
      <c r="F77" s="252"/>
      <c r="G77" s="252"/>
      <c r="H77" s="252"/>
      <c r="I77" s="253"/>
      <c r="J77" s="15" t="str">
        <f>+'R120636-B'!D41</f>
        <v>R</v>
      </c>
      <c r="K77" s="17">
        <f>+'R120636-B'!M41</f>
        <v>1.8315018315018315E-3</v>
      </c>
      <c r="L77" s="16">
        <f>+'R120636-B'!N41</f>
        <v>1.0399267399267399E-2</v>
      </c>
    </row>
    <row r="78" spans="1:12" ht="20.100000000000001" customHeight="1">
      <c r="A78" s="15">
        <v>69</v>
      </c>
      <c r="B78" s="15" t="str">
        <f t="shared" si="1"/>
        <v>142B</v>
      </c>
      <c r="C78" s="15" t="str">
        <f>+'R120636-B'!A42</f>
        <v>CELULA</v>
      </c>
      <c r="D78" s="251" t="str">
        <f>+'R120636-B'!C42</f>
        <v xml:space="preserve">Cambio de carga bandejas PP </v>
      </c>
      <c r="E78" s="252"/>
      <c r="F78" s="252"/>
      <c r="G78" s="252"/>
      <c r="H78" s="252"/>
      <c r="I78" s="253"/>
      <c r="J78" s="15" t="str">
        <f>+'R120636-B'!D42</f>
        <v>R</v>
      </c>
      <c r="K78" s="17">
        <f>+'R120636-B'!M42</f>
        <v>1.3020833333333333E-3</v>
      </c>
      <c r="L78" s="16">
        <f>+'R120636-B'!N42</f>
        <v>8.4999999999999989E-3</v>
      </c>
    </row>
    <row r="79" spans="1:12" ht="20.100000000000001" customHeight="1">
      <c r="A79" s="15">
        <v>70</v>
      </c>
      <c r="B79" s="15" t="str">
        <f t="shared" si="1"/>
        <v>142B</v>
      </c>
      <c r="C79" s="15" t="str">
        <f>+'R120636-B'!A43</f>
        <v>VARIOS</v>
      </c>
      <c r="D79" s="251" t="str">
        <f>+'R120636-B'!C43</f>
        <v>Grabar datos registrados con pulsador.</v>
      </c>
      <c r="E79" s="252"/>
      <c r="F79" s="252"/>
      <c r="G79" s="252"/>
      <c r="H79" s="252"/>
      <c r="I79" s="253"/>
      <c r="J79" s="15" t="str">
        <f>+'R120636-B'!D43</f>
        <v>R</v>
      </c>
      <c r="K79" s="17">
        <f>+'R120636-B'!M43</f>
        <v>5.0000000000000001E-3</v>
      </c>
      <c r="L79" s="16">
        <f>+'R120636-B'!N43</f>
        <v>1.65E-4</v>
      </c>
    </row>
    <row r="80" spans="1:12" ht="20.100000000000001" customHeight="1">
      <c r="A80" s="15">
        <v>71</v>
      </c>
      <c r="B80" s="15" t="str">
        <f t="shared" si="1"/>
        <v>142B</v>
      </c>
      <c r="C80" s="15" t="str">
        <f>+'R120636-B'!A44</f>
        <v>VARIOS</v>
      </c>
      <c r="D80" s="251" t="str">
        <f>+'R120636-B'!C44</f>
        <v>Modificar pantalla, seleccionar referencia de combinación.</v>
      </c>
      <c r="E80" s="252"/>
      <c r="F80" s="252"/>
      <c r="G80" s="252"/>
      <c r="H80" s="252"/>
      <c r="I80" s="253"/>
      <c r="J80" s="15" t="str">
        <f>+'R120636-B'!D44</f>
        <v>R</v>
      </c>
      <c r="K80" s="17">
        <f>+'R120636-B'!M44</f>
        <v>2.5000000000000001E-3</v>
      </c>
      <c r="L80" s="16">
        <f>+'R120636-B'!N44</f>
        <v>1.3750000000000001E-3</v>
      </c>
    </row>
    <row r="81" spans="1:12" ht="20.100000000000001" customHeight="1">
      <c r="A81" s="15">
        <v>72</v>
      </c>
      <c r="B81" s="15" t="str">
        <f t="shared" si="1"/>
        <v>142B</v>
      </c>
      <c r="C81" s="15" t="str">
        <f>+'R120636-B'!A45</f>
        <v>TORNO</v>
      </c>
      <c r="D81" s="251" t="str">
        <f>+'R120636-B'!C45</f>
        <v>CH.-Abrir puertas y desplazar torreta a posición de trabajo</v>
      </c>
      <c r="E81" s="252"/>
      <c r="F81" s="252"/>
      <c r="G81" s="252"/>
      <c r="H81" s="252"/>
      <c r="I81" s="253"/>
      <c r="J81" s="15" t="str">
        <f>+'R120636-B'!D45</f>
        <v>D</v>
      </c>
      <c r="K81" s="15">
        <f>+'R120636-B'!M45</f>
        <v>5.0000000000000001E-4</v>
      </c>
      <c r="L81" s="16">
        <f>+'R120636-B'!N45</f>
        <v>5.0600000000000016E-4</v>
      </c>
    </row>
    <row r="82" spans="1:12" ht="20.100000000000001" customHeight="1">
      <c r="A82" s="15">
        <v>73</v>
      </c>
      <c r="B82" s="15" t="str">
        <f t="shared" si="1"/>
        <v>142B</v>
      </c>
      <c r="C82" s="15" t="str">
        <f>+'R120636-B'!A46</f>
        <v>TORNO</v>
      </c>
      <c r="D82" s="251" t="str">
        <f>+'R120636-B'!C46</f>
        <v>CH.-Cambio  herramientas 2º cabezal, soplando herramienta y gitando torreta.</v>
      </c>
      <c r="E82" s="252"/>
      <c r="F82" s="252"/>
      <c r="G82" s="252"/>
      <c r="H82" s="252"/>
      <c r="I82" s="253"/>
      <c r="J82" s="15" t="str">
        <f>+'R120636-B'!D46</f>
        <v>D</v>
      </c>
      <c r="K82" s="15">
        <f>+'R120636-B'!M46</f>
        <v>5.0000000000000001E-4</v>
      </c>
      <c r="L82" s="16">
        <f>+'R120636-B'!N46</f>
        <v>5.1150000000000015E-3</v>
      </c>
    </row>
    <row r="83" spans="1:12" ht="20.100000000000001" customHeight="1">
      <c r="A83" s="15">
        <v>74</v>
      </c>
      <c r="B83" s="15" t="str">
        <f t="shared" si="1"/>
        <v>142B</v>
      </c>
      <c r="C83" s="15" t="str">
        <f>+'R120636-B'!A47</f>
        <v>TORNO</v>
      </c>
      <c r="D83" s="251" t="str">
        <f>+'R120636-B'!C47</f>
        <v>CH.- Cambio  herramientas 1º cabezal, soplando herramienta  y girando torreta.</v>
      </c>
      <c r="E83" s="252"/>
      <c r="F83" s="252"/>
      <c r="G83" s="252"/>
      <c r="H83" s="252"/>
      <c r="I83" s="253"/>
      <c r="J83" s="15" t="str">
        <f>+'R120636-B'!D47</f>
        <v>D</v>
      </c>
      <c r="K83" s="15">
        <f>+'R120636-B'!M47</f>
        <v>5.0000000000000001E-4</v>
      </c>
      <c r="L83" s="16">
        <f>+'R120636-B'!N47</f>
        <v>3.7290000000000005E-3</v>
      </c>
    </row>
    <row r="84" spans="1:12" ht="20.100000000000001" customHeight="1">
      <c r="A84" s="15">
        <v>75</v>
      </c>
      <c r="B84" s="15" t="str">
        <f t="shared" si="1"/>
        <v>142B</v>
      </c>
      <c r="C84" s="15" t="str">
        <f>+'R120636-B'!A48</f>
        <v>TORNO</v>
      </c>
      <c r="D84" s="251" t="str">
        <f>+'R120636-B'!C48</f>
        <v>CH.- Posicionar cabezales, cerrar puertas e iniciar programa de medición.</v>
      </c>
      <c r="E84" s="252"/>
      <c r="F84" s="252"/>
      <c r="G84" s="252"/>
      <c r="H84" s="252"/>
      <c r="I84" s="253"/>
      <c r="J84" s="15" t="str">
        <f>+'R120636-B'!D48</f>
        <v>D</v>
      </c>
      <c r="K84" s="15">
        <f>+'R120636-B'!M48</f>
        <v>5.0000000000000001E-4</v>
      </c>
      <c r="L84" s="16">
        <f>+'R120636-B'!N48</f>
        <v>5.0049999999999997E-4</v>
      </c>
    </row>
    <row r="85" spans="1:12" ht="20.100000000000001" customHeight="1">
      <c r="A85" s="15">
        <v>76</v>
      </c>
      <c r="B85" s="15" t="str">
        <f t="shared" si="1"/>
        <v>142B</v>
      </c>
      <c r="C85" s="15" t="str">
        <f>+'R120636-B'!A49</f>
        <v>TORNO</v>
      </c>
      <c r="D85" s="251" t="str">
        <f>+'R120636-B'!C49</f>
        <v>CH.-Medición de herramientas.</v>
      </c>
      <c r="E85" s="252"/>
      <c r="F85" s="252"/>
      <c r="G85" s="252"/>
      <c r="H85" s="252"/>
      <c r="I85" s="253"/>
      <c r="J85" s="15" t="str">
        <f>+'R120636-B'!D49</f>
        <v>D</v>
      </c>
      <c r="K85" s="15">
        <f>+'R120636-B'!M49</f>
        <v>5.0000000000000001E-4</v>
      </c>
      <c r="L85" s="16">
        <f>+'R120636-B'!N49</f>
        <v>1.3749999999999999E-3</v>
      </c>
    </row>
    <row r="86" spans="1:12" ht="20.100000000000001" customHeight="1">
      <c r="A86" s="15">
        <v>77</v>
      </c>
      <c r="B86" s="15" t="str">
        <f t="shared" si="1"/>
        <v>142B</v>
      </c>
      <c r="C86" s="15" t="str">
        <f>+'R120636-B'!A50</f>
        <v>TORNO</v>
      </c>
      <c r="D86" s="251" t="str">
        <f>+'R120636-B'!C50</f>
        <v>CH.- Hacer pieza y medir hasta corregir,</v>
      </c>
      <c r="E86" s="252"/>
      <c r="F86" s="252"/>
      <c r="G86" s="252"/>
      <c r="H86" s="252"/>
      <c r="I86" s="253"/>
      <c r="J86" s="15" t="str">
        <f>+'R120636-B'!D50</f>
        <v>D</v>
      </c>
      <c r="K86" s="15">
        <f>+'R120636-B'!M50</f>
        <v>5.0000000000000001E-4</v>
      </c>
      <c r="L86" s="16">
        <f>+'R120636-B'!N50</f>
        <v>4.2900000000000004E-3</v>
      </c>
    </row>
    <row r="87" spans="1:12">
      <c r="A87" s="15">
        <v>78</v>
      </c>
      <c r="B87" s="15" t="str">
        <f t="shared" si="1"/>
        <v>142B</v>
      </c>
      <c r="C87" s="15" t="e">
        <f>+'R120636-B'!#REF!</f>
        <v>#REF!</v>
      </c>
      <c r="D87" s="251" t="e">
        <f>+'R120636-B'!#REF!</f>
        <v>#REF!</v>
      </c>
      <c r="E87" s="252"/>
      <c r="F87" s="252"/>
      <c r="G87" s="252"/>
      <c r="H87" s="252"/>
      <c r="I87" s="253"/>
      <c r="J87" s="15" t="e">
        <f>+'R120636-B'!#REF!</f>
        <v>#REF!</v>
      </c>
      <c r="K87" s="17" t="e">
        <f>+'R120636-B'!#REF!</f>
        <v>#REF!</v>
      </c>
      <c r="L87" s="16" t="e">
        <f>+'R120636-B'!#REF!</f>
        <v>#REF!</v>
      </c>
    </row>
    <row r="88" spans="1:12" ht="20.100000000000001" customHeight="1">
      <c r="A88" s="15">
        <v>79</v>
      </c>
      <c r="B88" s="15" t="str">
        <f t="shared" si="1"/>
        <v>142B</v>
      </c>
      <c r="C88" s="15" t="str">
        <f>+'R120636-B'!A51</f>
        <v>CELULA</v>
      </c>
      <c r="D88" s="251" t="str">
        <f>+'R120636-B'!C51</f>
        <v>Limpiar pieza y secar</v>
      </c>
      <c r="E88" s="252"/>
      <c r="F88" s="252"/>
      <c r="G88" s="252"/>
      <c r="H88" s="252"/>
      <c r="I88" s="253"/>
      <c r="J88" s="15" t="str">
        <f>+'R120636-B'!D51</f>
        <v>R</v>
      </c>
      <c r="K88" s="17">
        <f>+'R120636-B'!M51</f>
        <v>2.5000000000000001E-3</v>
      </c>
      <c r="L88" s="16">
        <f>+'R120636-B'!N51</f>
        <v>2.4640000000000005E-3</v>
      </c>
    </row>
    <row r="89" spans="1:12" ht="20.100000000000001" customHeight="1">
      <c r="A89" s="15">
        <v>80</v>
      </c>
      <c r="B89" s="15" t="str">
        <f t="shared" si="1"/>
        <v>142B</v>
      </c>
      <c r="C89" s="15" t="str">
        <f>+'R120636-B'!A52</f>
        <v>CELULA</v>
      </c>
      <c r="D89" s="251" t="str">
        <f>+'R120636-B'!C52</f>
        <v>Desplazarse con pieza a verificación, apuntar referencia en papel y dejar. 20 Mts</v>
      </c>
      <c r="E89" s="252"/>
      <c r="F89" s="252"/>
      <c r="G89" s="252"/>
      <c r="H89" s="252"/>
      <c r="I89" s="253"/>
      <c r="J89" s="15" t="str">
        <f>+'R120636-B'!D52</f>
        <v>R</v>
      </c>
      <c r="K89" s="17">
        <f>+'R120636-B'!M52</f>
        <v>2.5000000000000001E-3</v>
      </c>
      <c r="L89" s="16">
        <f>+'R120636-B'!N52</f>
        <v>1.1725000000000001E-3</v>
      </c>
    </row>
    <row r="90" spans="1:12" ht="20.100000000000001" customHeight="1">
      <c r="A90" s="15">
        <v>81</v>
      </c>
      <c r="B90" s="15" t="str">
        <f t="shared" si="1"/>
        <v>142B</v>
      </c>
      <c r="C90" s="15" t="str">
        <f>+'R120636-B'!A53</f>
        <v>CELULA</v>
      </c>
      <c r="D90" s="251" t="str">
        <f>+'R120636-B'!C53</f>
        <v>Coger pieza y desplazarse a celula. 40 Mts</v>
      </c>
      <c r="E90" s="252"/>
      <c r="F90" s="252"/>
      <c r="G90" s="252"/>
      <c r="H90" s="252"/>
      <c r="I90" s="253"/>
      <c r="J90" s="15" t="str">
        <f>+'R120636-B'!D53</f>
        <v>R</v>
      </c>
      <c r="K90" s="17">
        <f>+'R120636-B'!M53</f>
        <v>2.5000000000000001E-3</v>
      </c>
      <c r="L90" s="16">
        <f>+'R120636-B'!N53</f>
        <v>1.6050000000000001E-3</v>
      </c>
    </row>
    <row r="91" spans="1:12" ht="20.100000000000001" customHeight="1">
      <c r="A91" s="15">
        <v>82</v>
      </c>
      <c r="B91" s="15" t="str">
        <f t="shared" si="1"/>
        <v>142B</v>
      </c>
      <c r="C91" s="15" t="str">
        <f>+'R120636-B'!A54</f>
        <v>CELULA</v>
      </c>
      <c r="D91" s="251" t="str">
        <f>+'R120636-B'!C54</f>
        <v>Coger pieza y desplazarse a celula. 30 Mts</v>
      </c>
      <c r="E91" s="252"/>
      <c r="F91" s="252"/>
      <c r="G91" s="252"/>
      <c r="H91" s="252"/>
      <c r="I91" s="253"/>
      <c r="J91" s="15" t="str">
        <f>+'R120636-B'!D54</f>
        <v>R</v>
      </c>
      <c r="K91" s="17">
        <f>+'R120636-B'!M54</f>
        <v>2.5000000000000001E-3</v>
      </c>
      <c r="L91" s="16">
        <f>+'R120636-B'!N54</f>
        <v>1.2300000000000002E-3</v>
      </c>
    </row>
    <row r="92" spans="1:12" ht="20.100000000000001" customHeight="1">
      <c r="A92" s="15">
        <v>83</v>
      </c>
      <c r="B92" s="15" t="str">
        <f>+$D$5</f>
        <v>142C</v>
      </c>
      <c r="C92" s="15" t="str">
        <f>+'R544000-C'!A16</f>
        <v>TORNO</v>
      </c>
      <c r="D92" s="251" t="str">
        <f>+'R544000-C'!C16</f>
        <v>TORNEAR</v>
      </c>
      <c r="E92" s="252"/>
      <c r="F92" s="252"/>
      <c r="G92" s="252"/>
      <c r="H92" s="252"/>
      <c r="I92" s="253"/>
      <c r="J92" s="15" t="str">
        <f>+'R544000-C'!D16</f>
        <v>MC</v>
      </c>
      <c r="K92" s="17">
        <f>+'R544000-C'!M16</f>
        <v>1</v>
      </c>
      <c r="L92" s="16">
        <f>+'R544000-C'!N16</f>
        <v>0.9</v>
      </c>
    </row>
    <row r="93" spans="1:12" ht="20.100000000000001" customHeight="1">
      <c r="A93" s="15">
        <v>84</v>
      </c>
      <c r="B93" s="15" t="str">
        <f t="shared" ref="B93:B143" si="2">+$D$5</f>
        <v>142C</v>
      </c>
      <c r="C93" s="15" t="str">
        <f>+'R544000-C'!A17</f>
        <v>TORNO</v>
      </c>
      <c r="D93" s="251" t="str">
        <f>+'R544000-C'!C17</f>
        <v>MEDICIÓN</v>
      </c>
      <c r="E93" s="252"/>
      <c r="F93" s="252"/>
      <c r="G93" s="252"/>
      <c r="H93" s="252"/>
      <c r="I93" s="253"/>
      <c r="J93" s="15" t="str">
        <f>+'R544000-C'!D17</f>
        <v>MC</v>
      </c>
      <c r="K93" s="17">
        <f>+'R544000-C'!M17</f>
        <v>0.1</v>
      </c>
      <c r="L93" s="16">
        <f>+'R544000-C'!N17</f>
        <v>2.5000000000000001E-2</v>
      </c>
    </row>
    <row r="94" spans="1:12" ht="20.100000000000001" customHeight="1">
      <c r="A94" s="15">
        <v>85</v>
      </c>
      <c r="B94" s="15" t="str">
        <f t="shared" si="2"/>
        <v>142C</v>
      </c>
      <c r="C94" s="15" t="str">
        <f>+'R544000-C'!A18</f>
        <v>TORNO</v>
      </c>
      <c r="D94" s="251" t="str">
        <f>+'R544000-C'!C18</f>
        <v>Posicionarse en mesa para verificar. G-10 = 0,052</v>
      </c>
      <c r="E94" s="252"/>
      <c r="F94" s="252"/>
      <c r="G94" s="252"/>
      <c r="H94" s="252"/>
      <c r="I94" s="253"/>
      <c r="J94" s="15" t="str">
        <f>+'R544000-C'!D18</f>
        <v>R</v>
      </c>
      <c r="K94" s="17">
        <f>+'R544000-C'!M18</f>
        <v>0.01</v>
      </c>
      <c r="L94" s="16">
        <f>+'R544000-C'!N18</f>
        <v>5.7200000000000013E-4</v>
      </c>
    </row>
    <row r="95" spans="1:12" ht="20.100000000000001" customHeight="1">
      <c r="A95" s="15">
        <v>86</v>
      </c>
      <c r="B95" s="15" t="str">
        <f t="shared" si="2"/>
        <v>142C</v>
      </c>
      <c r="C95" s="15" t="str">
        <f>+'R544000-C'!A19</f>
        <v>TORNO</v>
      </c>
      <c r="D95" s="251" t="str">
        <f>+'R544000-C'!C19</f>
        <v>Soplar con manguera de aire pieza a verificar.</v>
      </c>
      <c r="E95" s="252"/>
      <c r="F95" s="252"/>
      <c r="G95" s="252"/>
      <c r="H95" s="252"/>
      <c r="I95" s="253"/>
      <c r="J95" s="15" t="str">
        <f>+'R544000-C'!D19</f>
        <v>R</v>
      </c>
      <c r="K95" s="17">
        <f>+'R544000-C'!M19</f>
        <v>0.01</v>
      </c>
      <c r="L95" s="16">
        <f>+'R544000-C'!N19</f>
        <v>2.3310000000000002E-3</v>
      </c>
    </row>
    <row r="96" spans="1:12" ht="38.25" customHeight="1">
      <c r="A96" s="15">
        <v>87</v>
      </c>
      <c r="B96" s="15" t="str">
        <f t="shared" si="2"/>
        <v>142C</v>
      </c>
      <c r="C96" s="15" t="str">
        <f>+'R544000-C'!A20</f>
        <v>TORNO</v>
      </c>
      <c r="D96" s="284" t="str">
        <f>+'R544000-C'!C20</f>
        <v>Tol. Verificar calibre de herradura. (Diámetro exterior Ø 91,08 +- 0,05 F 30=0,120+0,06=0,180</v>
      </c>
      <c r="E96" s="285"/>
      <c r="F96" s="285"/>
      <c r="G96" s="285"/>
      <c r="H96" s="285"/>
      <c r="I96" s="286"/>
      <c r="J96" s="15" t="str">
        <f>+'R544000-C'!D20</f>
        <v>R</v>
      </c>
      <c r="K96" s="17">
        <f>+'R544000-C'!M20</f>
        <v>0.01</v>
      </c>
      <c r="L96" s="16">
        <f>+'R544000-C'!N20</f>
        <v>1.98E-3</v>
      </c>
    </row>
    <row r="97" spans="1:12" ht="20.100000000000001" customHeight="1">
      <c r="A97" s="15">
        <v>88</v>
      </c>
      <c r="B97" s="15" t="str">
        <f t="shared" si="2"/>
        <v>142C</v>
      </c>
      <c r="C97" s="15" t="str">
        <f>+'R544000-C'!A21</f>
        <v>TORNO</v>
      </c>
      <c r="D97" s="251" t="str">
        <f>+'R544000-C'!C21</f>
        <v xml:space="preserve">Tol. Verificar diametro chaflan.  6,09 ± 0,1 </v>
      </c>
      <c r="E97" s="252"/>
      <c r="F97" s="252"/>
      <c r="G97" s="252"/>
      <c r="H97" s="252"/>
      <c r="I97" s="253"/>
      <c r="J97" s="15" t="str">
        <f>+'R544000-C'!D21</f>
        <v>R</v>
      </c>
      <c r="K97" s="17">
        <f>+'R544000-C'!M21</f>
        <v>0.01</v>
      </c>
      <c r="L97" s="16">
        <f>+'R544000-C'!N21</f>
        <v>1.98E-3</v>
      </c>
    </row>
    <row r="98" spans="1:12" ht="20.100000000000001" customHeight="1">
      <c r="A98" s="15">
        <v>89</v>
      </c>
      <c r="B98" s="15" t="str">
        <f t="shared" si="2"/>
        <v>142C</v>
      </c>
      <c r="C98" s="15" t="str">
        <f>+'R544000-C'!A22</f>
        <v>TORNO</v>
      </c>
      <c r="D98" s="251" t="str">
        <f>+'R544000-C'!C22</f>
        <v>Tol. Verificar calibre de herradura. (Anchura Ø 32,10-32,15))</v>
      </c>
      <c r="E98" s="252"/>
      <c r="F98" s="252"/>
      <c r="G98" s="252"/>
      <c r="H98" s="252"/>
      <c r="I98" s="253"/>
      <c r="J98" s="15" t="str">
        <f>+'R544000-C'!D22</f>
        <v>R</v>
      </c>
      <c r="K98" s="17">
        <f>+'R544000-C'!M22</f>
        <v>0.01</v>
      </c>
      <c r="L98" s="16">
        <f>+'R544000-C'!N22</f>
        <v>1.98E-3</v>
      </c>
    </row>
    <row r="99" spans="1:12" ht="20.100000000000001" customHeight="1">
      <c r="A99" s="15">
        <v>90</v>
      </c>
      <c r="B99" s="15" t="str">
        <f t="shared" si="2"/>
        <v>142C</v>
      </c>
      <c r="C99" s="15" t="str">
        <f>+'R544000-C'!A23</f>
        <v>TORNO</v>
      </c>
      <c r="D99" s="251" t="str">
        <f>+'R544000-C'!C23</f>
        <v xml:space="preserve">Tol. Verificar alexómetro (Diámetro interior Ø 56,06 (+0,07 / +0,05)) </v>
      </c>
      <c r="E99" s="252"/>
      <c r="F99" s="252"/>
      <c r="G99" s="252"/>
      <c r="H99" s="252"/>
      <c r="I99" s="253"/>
      <c r="J99" s="15" t="str">
        <f>+'R544000-C'!D23</f>
        <v>R</v>
      </c>
      <c r="K99" s="17">
        <f>+'R544000-C'!M23</f>
        <v>0.01</v>
      </c>
      <c r="L99" s="16">
        <f>+'R544000-C'!N23</f>
        <v>1.1330000000000001E-3</v>
      </c>
    </row>
    <row r="100" spans="1:12" ht="20.100000000000001" customHeight="1">
      <c r="A100" s="15">
        <v>91</v>
      </c>
      <c r="B100" s="15" t="str">
        <f t="shared" si="2"/>
        <v>142C</v>
      </c>
      <c r="C100" s="15" t="str">
        <f>+'R544000-C'!A24</f>
        <v>TORNO</v>
      </c>
      <c r="D100" s="251" t="str">
        <f>+'R544000-C'!C24</f>
        <v>Tol. Verificar Paralelismo</v>
      </c>
      <c r="E100" s="252"/>
      <c r="F100" s="252"/>
      <c r="G100" s="252"/>
      <c r="H100" s="252"/>
      <c r="I100" s="253"/>
      <c r="J100" s="15" t="str">
        <f>+'R544000-C'!D24</f>
        <v>R</v>
      </c>
      <c r="K100" s="17">
        <f>+'R544000-C'!M24</f>
        <v>0.01</v>
      </c>
      <c r="L100" s="16">
        <f>+'R544000-C'!N24</f>
        <v>1.8000000000000002E-3</v>
      </c>
    </row>
    <row r="101" spans="1:12" ht="20.100000000000001" customHeight="1">
      <c r="A101" s="15">
        <v>92</v>
      </c>
      <c r="B101" s="15" t="str">
        <f t="shared" si="2"/>
        <v>142C</v>
      </c>
      <c r="C101" s="15" t="str">
        <f>+'R544000-C'!A25</f>
        <v>TORNO</v>
      </c>
      <c r="D101" s="251" t="str">
        <f>+'R544000-C'!C25</f>
        <v xml:space="preserve">Tol. Verificar diametro chaflan.  66,17+-0,1 </v>
      </c>
      <c r="E101" s="252"/>
      <c r="F101" s="252"/>
      <c r="G101" s="252"/>
      <c r="H101" s="252"/>
      <c r="I101" s="253"/>
      <c r="J101" s="15" t="str">
        <f>+'R544000-C'!D25</f>
        <v>R</v>
      </c>
      <c r="K101" s="17">
        <f>+'R544000-C'!M25</f>
        <v>0.01</v>
      </c>
      <c r="L101" s="16">
        <f>+'R544000-C'!N25</f>
        <v>1.8000000000000002E-3</v>
      </c>
    </row>
    <row r="102" spans="1:12" ht="20.100000000000001" customHeight="1">
      <c r="A102" s="15">
        <v>93</v>
      </c>
      <c r="B102" s="15" t="str">
        <f t="shared" si="2"/>
        <v>142C</v>
      </c>
      <c r="C102" s="15" t="str">
        <f>+'R544000-C'!A26</f>
        <v>TORNO</v>
      </c>
      <c r="D102" s="251" t="str">
        <f>+'R544000-C'!C26</f>
        <v>Desplazarse a zona de trabajo. 12 M -G-293= 0,197</v>
      </c>
      <c r="E102" s="252"/>
      <c r="F102" s="252"/>
      <c r="G102" s="252"/>
      <c r="H102" s="252"/>
      <c r="I102" s="253"/>
      <c r="J102" s="15" t="str">
        <f>+'R544000-C'!D26</f>
        <v>R</v>
      </c>
      <c r="K102" s="17">
        <f>+'R544000-C'!M26</f>
        <v>0.04</v>
      </c>
      <c r="L102" s="16">
        <f>+'R544000-C'!N26</f>
        <v>7.8799999999999999E-3</v>
      </c>
    </row>
    <row r="103" spans="1:12" ht="20.100000000000001" customHeight="1">
      <c r="A103" s="15">
        <v>94</v>
      </c>
      <c r="B103" s="15" t="str">
        <f t="shared" si="2"/>
        <v>142C</v>
      </c>
      <c r="C103" s="15" t="str">
        <f>+'R544000-C'!A27</f>
        <v>TALLADORA</v>
      </c>
      <c r="D103" s="251" t="str">
        <f>+'R544000-C'!C27</f>
        <v>TALLAR</v>
      </c>
      <c r="E103" s="252"/>
      <c r="F103" s="252"/>
      <c r="G103" s="252"/>
      <c r="H103" s="252"/>
      <c r="I103" s="253"/>
      <c r="J103" s="15" t="str">
        <f>+'R544000-C'!D27</f>
        <v>M</v>
      </c>
      <c r="K103" s="17">
        <f>+'R544000-C'!M27</f>
        <v>1</v>
      </c>
      <c r="L103" s="16">
        <f>+'R544000-C'!N27</f>
        <v>0.88</v>
      </c>
    </row>
    <row r="104" spans="1:12" ht="20.100000000000001" customHeight="1">
      <c r="A104" s="15">
        <v>95</v>
      </c>
      <c r="B104" s="15" t="str">
        <f t="shared" si="2"/>
        <v>142C</v>
      </c>
      <c r="C104" s="15" t="str">
        <f>+'R544000-C'!A28</f>
        <v>TALLADORA</v>
      </c>
      <c r="D104" s="251" t="str">
        <f>+'R544000-C'!C28</f>
        <v>Soplar con manguera de aire pieza a verificar.</v>
      </c>
      <c r="E104" s="252"/>
      <c r="F104" s="252"/>
      <c r="G104" s="252"/>
      <c r="H104" s="252"/>
      <c r="I104" s="253"/>
      <c r="J104" s="15" t="str">
        <f>+'R544000-C'!D28</f>
        <v>R</v>
      </c>
      <c r="K104" s="17">
        <f>+'R544000-C'!M28</f>
        <v>5.0000000000000001E-3</v>
      </c>
      <c r="L104" s="16">
        <f>+'R544000-C'!N28</f>
        <v>1.1655000000000001E-3</v>
      </c>
    </row>
    <row r="105" spans="1:12" ht="20.100000000000001" customHeight="1">
      <c r="A105" s="15">
        <v>96</v>
      </c>
      <c r="B105" s="15" t="str">
        <f t="shared" si="2"/>
        <v>142C</v>
      </c>
      <c r="C105" s="15" t="str">
        <f>+'R544000-C'!A29</f>
        <v>TALLADORA</v>
      </c>
      <c r="D105" s="251" t="str">
        <f>+'R544000-C'!C29</f>
        <v>Tol. Verificar micro de platillos.</v>
      </c>
      <c r="E105" s="252"/>
      <c r="F105" s="252"/>
      <c r="G105" s="252"/>
      <c r="H105" s="252"/>
      <c r="I105" s="253"/>
      <c r="J105" s="15" t="str">
        <f>+'R544000-C'!D29</f>
        <v>R</v>
      </c>
      <c r="K105" s="17">
        <f>+'R544000-C'!M29</f>
        <v>5.0000000000000001E-3</v>
      </c>
      <c r="L105" s="16">
        <f>+'R544000-C'!N29</f>
        <v>9.3000000000000016E-4</v>
      </c>
    </row>
    <row r="106" spans="1:12" ht="20.100000000000001" customHeight="1">
      <c r="A106" s="15">
        <v>97</v>
      </c>
      <c r="B106" s="15" t="str">
        <f t="shared" si="2"/>
        <v>142C</v>
      </c>
      <c r="C106" s="15" t="str">
        <f>+'R544000-C'!A30</f>
        <v>TALLADORA</v>
      </c>
      <c r="D106" s="251" t="str">
        <f>+'R544000-C'!C30</f>
        <v>Revisar chaflan y rebaba</v>
      </c>
      <c r="E106" s="252"/>
      <c r="F106" s="252"/>
      <c r="G106" s="252"/>
      <c r="H106" s="252"/>
      <c r="I106" s="253"/>
      <c r="J106" s="15" t="str">
        <f>+'R544000-C'!D30</f>
        <v>R</v>
      </c>
      <c r="K106" s="17">
        <f>+'R544000-C'!M30</f>
        <v>5.0000000000000001E-3</v>
      </c>
      <c r="L106" s="16">
        <f>+'R544000-C'!N30</f>
        <v>6.6550000000000018E-4</v>
      </c>
    </row>
    <row r="107" spans="1:12" ht="20.100000000000001" customHeight="1">
      <c r="A107" s="15">
        <v>98</v>
      </c>
      <c r="B107" s="15" t="str">
        <f t="shared" si="2"/>
        <v>142C</v>
      </c>
      <c r="C107" s="15" t="str">
        <f>+'R544000-C'!A31</f>
        <v>BROCHADORA</v>
      </c>
      <c r="D107" s="251" t="str">
        <f>+'R544000-C'!C31</f>
        <v>BROCHAR-MARCAR-ROBOT</v>
      </c>
      <c r="E107" s="252"/>
      <c r="F107" s="252"/>
      <c r="G107" s="252"/>
      <c r="H107" s="252"/>
      <c r="I107" s="253"/>
      <c r="J107" s="15" t="str">
        <f>+'R544000-C'!D31</f>
        <v>M</v>
      </c>
      <c r="K107" s="17">
        <f>+'R544000-C'!M31</f>
        <v>1</v>
      </c>
      <c r="L107" s="16">
        <f>+'R544000-C'!N31</f>
        <v>0.8</v>
      </c>
    </row>
    <row r="108" spans="1:12" ht="20.100000000000001" customHeight="1">
      <c r="A108" s="15">
        <v>99</v>
      </c>
      <c r="B108" s="15" t="str">
        <f t="shared" si="2"/>
        <v>142C</v>
      </c>
      <c r="C108" s="15" t="str">
        <f>+'R544000-C'!A32</f>
        <v>BROCHADORA</v>
      </c>
      <c r="D108" s="251" t="str">
        <f>+'R544000-C'!C32</f>
        <v>Soplar con manguera de aire pieza a verificar.</v>
      </c>
      <c r="E108" s="252"/>
      <c r="F108" s="252"/>
      <c r="G108" s="252"/>
      <c r="H108" s="252"/>
      <c r="I108" s="253"/>
      <c r="J108" s="15" t="str">
        <f>+'R544000-C'!D32</f>
        <v>R</v>
      </c>
      <c r="K108" s="17">
        <f>+'R544000-C'!M32</f>
        <v>0.01</v>
      </c>
      <c r="L108" s="16">
        <f>+'R544000-C'!N32</f>
        <v>2.3310000000000002E-3</v>
      </c>
    </row>
    <row r="109" spans="1:12" ht="20.100000000000001" customHeight="1">
      <c r="A109" s="15">
        <v>100</v>
      </c>
      <c r="B109" s="15" t="str">
        <f t="shared" si="2"/>
        <v>142C</v>
      </c>
      <c r="C109" s="15" t="str">
        <f>+'R544000-C'!A33</f>
        <v>BROCHADORA</v>
      </c>
      <c r="D109" s="251" t="str">
        <f>+'R544000-C'!C33</f>
        <v>Tol. Ancho de chavetero 4,10±0,025 (ambos lados) F-25= 0,114</v>
      </c>
      <c r="E109" s="252"/>
      <c r="F109" s="252"/>
      <c r="G109" s="252"/>
      <c r="H109" s="252"/>
      <c r="I109" s="253"/>
      <c r="J109" s="15" t="str">
        <f>+'R544000-C'!D33</f>
        <v>R</v>
      </c>
      <c r="K109" s="17">
        <f>+'R544000-C'!M33</f>
        <v>0.01</v>
      </c>
      <c r="L109" s="16">
        <f>+'R544000-C'!N33</f>
        <v>1.1400000000000002E-3</v>
      </c>
    </row>
    <row r="110" spans="1:12" ht="20.100000000000001" customHeight="1">
      <c r="A110" s="15">
        <v>101</v>
      </c>
      <c r="B110" s="15" t="str">
        <f t="shared" si="2"/>
        <v>142C</v>
      </c>
      <c r="C110" s="15" t="str">
        <f>+'R544000-C'!A34</f>
        <v>BROCHADORA</v>
      </c>
      <c r="D110" s="251" t="str">
        <f>+'R544000-C'!C34</f>
        <v>Tol. Verificar calibre verdaderaposición.</v>
      </c>
      <c r="E110" s="252"/>
      <c r="F110" s="252"/>
      <c r="G110" s="252"/>
      <c r="H110" s="252"/>
      <c r="I110" s="253"/>
      <c r="J110" s="15" t="str">
        <f>+'R544000-C'!D34</f>
        <v>R</v>
      </c>
      <c r="K110" s="17">
        <f>+'R544000-C'!M34</f>
        <v>0.01</v>
      </c>
      <c r="L110" s="16">
        <f>+'R544000-C'!N34</f>
        <v>4.5080000000000007E-3</v>
      </c>
    </row>
    <row r="111" spans="1:12" ht="20.100000000000001" customHeight="1">
      <c r="A111" s="15">
        <v>102</v>
      </c>
      <c r="B111" s="15" t="str">
        <f t="shared" si="2"/>
        <v>142C</v>
      </c>
      <c r="C111" s="15" t="str">
        <f>+'R544000-C'!A35</f>
        <v>BROCHADORA</v>
      </c>
      <c r="D111" s="251" t="str">
        <f>+'R544000-C'!C35</f>
        <v>Tol. Verificar profundidad de chavetero. 58,106(+0,174, +0,014)</v>
      </c>
      <c r="E111" s="252"/>
      <c r="F111" s="252"/>
      <c r="G111" s="252"/>
      <c r="H111" s="252"/>
      <c r="I111" s="253"/>
      <c r="J111" s="15" t="str">
        <f>+'R544000-C'!D35</f>
        <v>R</v>
      </c>
      <c r="K111" s="17">
        <f>+'R544000-C'!M35</f>
        <v>0.01</v>
      </c>
      <c r="L111" s="16">
        <f>+'R544000-C'!N35</f>
        <v>4.5080000000000007E-3</v>
      </c>
    </row>
    <row r="112" spans="1:12" ht="20.100000000000001" customHeight="1">
      <c r="A112" s="15">
        <v>103</v>
      </c>
      <c r="B112" s="15" t="str">
        <f t="shared" si="2"/>
        <v>142C</v>
      </c>
      <c r="C112" s="15" t="str">
        <f>+'R544000-C'!A36</f>
        <v>BROCHADORA</v>
      </c>
      <c r="D112" s="251" t="str">
        <f>+'R544000-C'!C36</f>
        <v>Tol. Verificar calibre de relación chavetero diente. ±0,15 (chaflán 50º abajo)</v>
      </c>
      <c r="E112" s="252"/>
      <c r="F112" s="252"/>
      <c r="G112" s="252"/>
      <c r="H112" s="252"/>
      <c r="I112" s="253"/>
      <c r="J112" s="15" t="str">
        <f>+'R544000-C'!D36</f>
        <v>R</v>
      </c>
      <c r="K112" s="17">
        <f>+'R544000-C'!M36</f>
        <v>0.01</v>
      </c>
      <c r="L112" s="16">
        <f>+'R544000-C'!N36</f>
        <v>3.8095200000000003E-3</v>
      </c>
    </row>
    <row r="113" spans="1:12" ht="20.100000000000001" customHeight="1">
      <c r="A113" s="15">
        <v>104</v>
      </c>
      <c r="B113" s="15" t="str">
        <f t="shared" si="2"/>
        <v>142C</v>
      </c>
      <c r="C113" s="15" t="str">
        <f>+'R544000-C'!A37</f>
        <v>BROCHADORA</v>
      </c>
      <c r="D113" s="251" t="str">
        <f>+'R544000-C'!C37</f>
        <v>Tol. Verificación de referencia y posición de chavetero.</v>
      </c>
      <c r="E113" s="252"/>
      <c r="F113" s="252"/>
      <c r="G113" s="252"/>
      <c r="H113" s="252"/>
      <c r="I113" s="253"/>
      <c r="J113" s="15" t="str">
        <f>+'R544000-C'!D37</f>
        <v>R</v>
      </c>
      <c r="K113" s="17">
        <f>+'R544000-C'!M37</f>
        <v>0.01</v>
      </c>
      <c r="L113" s="16">
        <f>+'R544000-C'!N37</f>
        <v>1.3310000000000004E-3</v>
      </c>
    </row>
    <row r="114" spans="1:12" ht="20.100000000000001" customHeight="1">
      <c r="A114" s="15">
        <v>105</v>
      </c>
      <c r="B114" s="15" t="str">
        <f t="shared" si="2"/>
        <v>142C</v>
      </c>
      <c r="C114" s="15" t="str">
        <f>+'R544000-C'!A38</f>
        <v>LAVADORA</v>
      </c>
      <c r="D114" s="251" t="str">
        <f>+'R544000-C'!C38</f>
        <v>Posicionarse en cinta de salida de lavadora. G-157= 0,086</v>
      </c>
      <c r="E114" s="252"/>
      <c r="F114" s="252"/>
      <c r="G114" s="252"/>
      <c r="H114" s="252"/>
      <c r="I114" s="253"/>
      <c r="J114" s="15" t="str">
        <f>+'R544000-C'!D38</f>
        <v>R</v>
      </c>
      <c r="K114" s="17">
        <f>+'R544000-C'!M38</f>
        <v>1.6666666666666666E-2</v>
      </c>
      <c r="L114" s="16">
        <f>+'R544000-C'!N38</f>
        <v>1.4333333333333331E-3</v>
      </c>
    </row>
    <row r="115" spans="1:12" ht="20.100000000000001" customHeight="1">
      <c r="A115" s="15">
        <v>106</v>
      </c>
      <c r="B115" s="15" t="str">
        <f t="shared" si="2"/>
        <v>142C</v>
      </c>
      <c r="C115" s="15" t="str">
        <f>+'R544000-C'!A39</f>
        <v>LAVADORA</v>
      </c>
      <c r="D115" s="251" t="str">
        <f>+'R544000-C'!C39</f>
        <v>Posicionarse vacio en zona de trabajo.</v>
      </c>
      <c r="E115" s="252"/>
      <c r="F115" s="252"/>
      <c r="G115" s="252"/>
      <c r="H115" s="252"/>
      <c r="I115" s="253"/>
      <c r="J115" s="15" t="str">
        <f>+'R544000-C'!D39</f>
        <v>R</v>
      </c>
      <c r="K115" s="17">
        <f>+'R544000-C'!M39</f>
        <v>1.6666666666666666E-2</v>
      </c>
      <c r="L115" s="16">
        <f>+'R544000-C'!N39</f>
        <v>2.7666666666666668E-3</v>
      </c>
    </row>
    <row r="116" spans="1:12" ht="20.100000000000001" customHeight="1">
      <c r="A116" s="15">
        <v>107</v>
      </c>
      <c r="B116" s="15" t="str">
        <f t="shared" si="2"/>
        <v>142C</v>
      </c>
      <c r="C116" s="15" t="str">
        <f>+'R544000-C'!A40</f>
        <v>CELULA</v>
      </c>
      <c r="D116" s="251" t="str">
        <f>+'R544000-C'!C40</f>
        <v>Piezas de cinta de salida a percha.</v>
      </c>
      <c r="E116" s="252"/>
      <c r="F116" s="252"/>
      <c r="G116" s="252"/>
      <c r="H116" s="252"/>
      <c r="I116" s="253"/>
      <c r="J116" s="15" t="str">
        <f>+'R544000-C'!D40</f>
        <v>R</v>
      </c>
      <c r="K116" s="17">
        <f>+'R544000-C'!M40</f>
        <v>1.6666666666666666E-2</v>
      </c>
      <c r="L116" s="16">
        <f>+'R544000-C'!N40</f>
        <v>9.4111111111111149E-3</v>
      </c>
    </row>
    <row r="117" spans="1:12" ht="20.100000000000001" customHeight="1">
      <c r="A117" s="15">
        <v>108</v>
      </c>
      <c r="B117" s="15" t="str">
        <f t="shared" si="2"/>
        <v>142C</v>
      </c>
      <c r="C117" s="15" t="str">
        <f>+'R544000-C'!A41</f>
        <v>VARIOS</v>
      </c>
      <c r="D117" s="251" t="str">
        <f>+'R544000-C'!C41</f>
        <v>Traslado a zona de trabajo, según porceda. (20m G-982= 0,323)</v>
      </c>
      <c r="E117" s="252"/>
      <c r="F117" s="252"/>
      <c r="G117" s="252"/>
      <c r="H117" s="252"/>
      <c r="I117" s="253"/>
      <c r="J117" s="15" t="str">
        <f>+'R544000-C'!D41</f>
        <v>R</v>
      </c>
      <c r="K117" s="17">
        <f>+'R544000-C'!M41</f>
        <v>0.04</v>
      </c>
      <c r="L117" s="16">
        <f>+'R544000-C'!N41</f>
        <v>1.2920000000000003E-2</v>
      </c>
    </row>
    <row r="118" spans="1:12" ht="20.100000000000001" customHeight="1">
      <c r="A118" s="15">
        <v>109</v>
      </c>
      <c r="B118" s="15" t="str">
        <f t="shared" si="2"/>
        <v>142C</v>
      </c>
      <c r="C118" s="15" t="str">
        <f>+'R544000-C'!A42</f>
        <v>TORNO</v>
      </c>
      <c r="D118" s="251" t="str">
        <f>+'R544000-C'!C42</f>
        <v>Limpiar torno con manguera de aire y gancho.</v>
      </c>
      <c r="E118" s="252"/>
      <c r="F118" s="252"/>
      <c r="G118" s="252"/>
      <c r="H118" s="252"/>
      <c r="I118" s="253"/>
      <c r="J118" s="15" t="str">
        <f>+'R544000-C'!D42</f>
        <v>D</v>
      </c>
      <c r="K118" s="17">
        <f>+'R544000-C'!M42</f>
        <v>1.6666666666666666E-2</v>
      </c>
      <c r="L118" s="16">
        <f>+'R544000-C'!N42</f>
        <v>1.2544000000000001E-2</v>
      </c>
    </row>
    <row r="119" spans="1:12" ht="20.100000000000001" customHeight="1">
      <c r="A119" s="15">
        <v>110</v>
      </c>
      <c r="B119" s="15" t="str">
        <f t="shared" si="2"/>
        <v>142C</v>
      </c>
      <c r="C119" s="15" t="str">
        <f>+'R544000-C'!A43</f>
        <v>TORNO</v>
      </c>
      <c r="D119" s="251" t="str">
        <f>+'R544000-C'!C43</f>
        <v>Retirar viruta con gancho de cinta a contenedor en parte lateral</v>
      </c>
      <c r="E119" s="252"/>
      <c r="F119" s="252"/>
      <c r="G119" s="252"/>
      <c r="H119" s="252"/>
      <c r="I119" s="253"/>
      <c r="J119" s="15" t="str">
        <f>+'R544000-C'!D43</f>
        <v>R</v>
      </c>
      <c r="K119" s="17">
        <f>+'R544000-C'!M43</f>
        <v>7.1428571428571426E-3</v>
      </c>
      <c r="L119" s="16">
        <f>+'R544000-C'!N43</f>
        <v>2.24E-2</v>
      </c>
    </row>
    <row r="120" spans="1:12" ht="20.100000000000001" customHeight="1">
      <c r="A120" s="15">
        <v>111</v>
      </c>
      <c r="B120" s="15" t="str">
        <f t="shared" si="2"/>
        <v>142C</v>
      </c>
      <c r="C120" s="15" t="str">
        <f>+'R544000-C'!A44</f>
        <v>CELULA</v>
      </c>
      <c r="D120" s="251" t="str">
        <f>+'R544000-C'!C44</f>
        <v>Limpiar virutas de torno final de la jornada.</v>
      </c>
      <c r="E120" s="252"/>
      <c r="F120" s="252"/>
      <c r="G120" s="252"/>
      <c r="H120" s="252"/>
      <c r="I120" s="253"/>
      <c r="J120" s="15" t="str">
        <f>+'R544000-C'!D44</f>
        <v>D</v>
      </c>
      <c r="K120" s="17">
        <f>+'R544000-C'!M44</f>
        <v>2.5000000000000001E-3</v>
      </c>
      <c r="L120" s="16">
        <f>+'R544000-C'!N44</f>
        <v>5.6242666666666673E-3</v>
      </c>
    </row>
    <row r="121" spans="1:12" ht="20.100000000000001" customHeight="1">
      <c r="A121" s="15">
        <v>112</v>
      </c>
      <c r="B121" s="15" t="str">
        <f t="shared" si="2"/>
        <v>142C</v>
      </c>
      <c r="C121" s="15" t="str">
        <f>+'R544000-C'!A45</f>
        <v>CELULA</v>
      </c>
      <c r="D121" s="251" t="str">
        <f>+'R544000-C'!C45</f>
        <v>Limpiar talladora con soplador.</v>
      </c>
      <c r="E121" s="252"/>
      <c r="F121" s="252"/>
      <c r="G121" s="252"/>
      <c r="H121" s="252"/>
      <c r="I121" s="253"/>
      <c r="J121" s="15" t="str">
        <f>+'R544000-C'!D45</f>
        <v>D</v>
      </c>
      <c r="K121" s="17">
        <f>+'R544000-C'!M45</f>
        <v>2.5000000000000001E-3</v>
      </c>
      <c r="L121" s="16">
        <f>+'R544000-C'!N45</f>
        <v>5.0400000000000011E-3</v>
      </c>
    </row>
    <row r="122" spans="1:12" ht="20.100000000000001" customHeight="1">
      <c r="A122" s="15">
        <v>113</v>
      </c>
      <c r="B122" s="15" t="str">
        <f t="shared" si="2"/>
        <v>142C</v>
      </c>
      <c r="C122" s="15" t="str">
        <f>+'R544000-C'!A46</f>
        <v>CELULA</v>
      </c>
      <c r="D122" s="251" t="str">
        <f>+'R544000-C'!C46</f>
        <v>Limpiar talladora zona trasera.</v>
      </c>
      <c r="E122" s="252"/>
      <c r="F122" s="252"/>
      <c r="G122" s="252"/>
      <c r="H122" s="252"/>
      <c r="I122" s="253"/>
      <c r="J122" s="15" t="str">
        <f>+'R544000-C'!D46</f>
        <v>D</v>
      </c>
      <c r="K122" s="17">
        <f>+'R544000-C'!M46</f>
        <v>2.5000000000000001E-3</v>
      </c>
      <c r="L122" s="16">
        <f>+'R544000-C'!N46</f>
        <v>5.0400000000000011E-3</v>
      </c>
    </row>
    <row r="123" spans="1:12" ht="20.100000000000001" customHeight="1">
      <c r="A123" s="15">
        <v>114</v>
      </c>
      <c r="B123" s="15" t="str">
        <f t="shared" si="2"/>
        <v>142C</v>
      </c>
      <c r="C123" s="15" t="str">
        <f>+'R544000-C'!A47</f>
        <v>CELULA</v>
      </c>
      <c r="D123" s="251" t="str">
        <f>+'R544000-C'!C47</f>
        <v>Poner contador de  shifting a cero.</v>
      </c>
      <c r="E123" s="252"/>
      <c r="F123" s="252"/>
      <c r="G123" s="252"/>
      <c r="H123" s="252"/>
      <c r="I123" s="253"/>
      <c r="J123" s="15" t="str">
        <f>+'R544000-C'!D47</f>
        <v>R</v>
      </c>
      <c r="K123" s="17">
        <f>+'R544000-C'!M47</f>
        <v>2.5000000000000001E-3</v>
      </c>
      <c r="L123" s="16">
        <f>+'R544000-C'!N47</f>
        <v>1.5400000000000004E-3</v>
      </c>
    </row>
    <row r="124" spans="1:12" ht="20.100000000000001" customHeight="1">
      <c r="A124" s="15">
        <v>115</v>
      </c>
      <c r="B124" s="15" t="str">
        <f t="shared" si="2"/>
        <v>142C</v>
      </c>
      <c r="C124" s="15" t="str">
        <f>+'R544000-C'!A48</f>
        <v>CELULA</v>
      </c>
      <c r="D124" s="251" t="str">
        <f>+'R544000-C'!C48</f>
        <v>Limpiar virutas en chamfer</v>
      </c>
      <c r="E124" s="252"/>
      <c r="F124" s="252"/>
      <c r="G124" s="252"/>
      <c r="H124" s="252"/>
      <c r="I124" s="253"/>
      <c r="J124" s="15" t="str">
        <f>+'R544000-C'!D48</f>
        <v>D</v>
      </c>
      <c r="K124" s="17">
        <f>+'R544000-C'!M48</f>
        <v>2.5000000000000001E-3</v>
      </c>
      <c r="L124" s="16">
        <f>+'R544000-C'!N48</f>
        <v>5.6242666666666673E-3</v>
      </c>
    </row>
    <row r="125" spans="1:12" ht="20.100000000000001" customHeight="1">
      <c r="A125" s="15">
        <v>116</v>
      </c>
      <c r="B125" s="15" t="str">
        <f t="shared" si="2"/>
        <v>142C</v>
      </c>
      <c r="C125" s="15" t="str">
        <f>+'R544000-C'!A49</f>
        <v>CELULA</v>
      </c>
      <c r="D125" s="251" t="str">
        <f>+'R544000-C'!C49</f>
        <v>Limpiar pinzas de robot, asiento de piezas en marpos, y maquina de grabar.</v>
      </c>
      <c r="E125" s="252"/>
      <c r="F125" s="252"/>
      <c r="G125" s="252"/>
      <c r="H125" s="252"/>
      <c r="I125" s="253"/>
      <c r="J125" s="15" t="str">
        <f>+'R544000-C'!D49</f>
        <v>D</v>
      </c>
      <c r="K125" s="17">
        <f>+'R544000-C'!M49</f>
        <v>2.5000000000000001E-3</v>
      </c>
      <c r="L125" s="16">
        <f>+'R544000-C'!N49</f>
        <v>4.5856250000000003E-3</v>
      </c>
    </row>
    <row r="126" spans="1:12" ht="20.100000000000001" customHeight="1">
      <c r="A126" s="15">
        <v>117</v>
      </c>
      <c r="B126" s="15" t="str">
        <f t="shared" si="2"/>
        <v>142C</v>
      </c>
      <c r="C126" s="15" t="str">
        <f>+'R544000-C'!A50</f>
        <v>VARIOS</v>
      </c>
      <c r="D126" s="251" t="str">
        <f>+'R544000-C'!C50</f>
        <v>Girar bandeja de piezas 180º</v>
      </c>
      <c r="E126" s="252"/>
      <c r="F126" s="252"/>
      <c r="G126" s="252"/>
      <c r="H126" s="252"/>
      <c r="I126" s="253"/>
      <c r="J126" s="15" t="str">
        <f>+'R544000-C'!D50</f>
        <v>R</v>
      </c>
      <c r="K126" s="17">
        <f>+'R544000-C'!M50</f>
        <v>5.208333333333333E-3</v>
      </c>
      <c r="L126" s="16">
        <f>+'R544000-C'!N50</f>
        <v>1.1458333333333333E-3</v>
      </c>
    </row>
    <row r="127" spans="1:12" ht="20.100000000000001" customHeight="1">
      <c r="A127" s="15">
        <v>118</v>
      </c>
      <c r="B127" s="15" t="str">
        <f t="shared" si="2"/>
        <v>142C</v>
      </c>
      <c r="C127" s="15" t="str">
        <f>+'R544000-C'!A51</f>
        <v>BIN PICKING</v>
      </c>
      <c r="D127" s="251" t="str">
        <f>+'R544000-C'!C51</f>
        <v>Cambio de carga bandejas PSP</v>
      </c>
      <c r="E127" s="252"/>
      <c r="F127" s="252"/>
      <c r="G127" s="252"/>
      <c r="H127" s="252"/>
      <c r="I127" s="253"/>
      <c r="J127" s="15" t="str">
        <f>+'R544000-C'!D51</f>
        <v>R</v>
      </c>
      <c r="K127" s="17">
        <f>+'R544000-C'!M51</f>
        <v>2.6041666666666665E-3</v>
      </c>
      <c r="L127" s="16">
        <f>+'R544000-C'!N51</f>
        <v>1.4786458333333332E-2</v>
      </c>
    </row>
    <row r="128" spans="1:12" ht="20.100000000000001" customHeight="1">
      <c r="A128" s="15">
        <v>119</v>
      </c>
      <c r="B128" s="15" t="str">
        <f t="shared" si="2"/>
        <v>142C</v>
      </c>
      <c r="C128" s="15" t="str">
        <f>+'R544000-C'!A52</f>
        <v>CELULA</v>
      </c>
      <c r="D128" s="251" t="str">
        <f>+'R544000-C'!C52</f>
        <v>Cambio de carga bandejas PP</v>
      </c>
      <c r="E128" s="252"/>
      <c r="F128" s="252"/>
      <c r="G128" s="252"/>
      <c r="H128" s="252"/>
      <c r="I128" s="253"/>
      <c r="J128" s="15" t="str">
        <f>+'R544000-C'!D52</f>
        <v>R</v>
      </c>
      <c r="K128" s="17">
        <f>+'R544000-C'!M52</f>
        <v>2.6041666666666665E-3</v>
      </c>
      <c r="L128" s="16">
        <f>+'R544000-C'!N52</f>
        <v>1.6999999999999998E-2</v>
      </c>
    </row>
    <row r="129" spans="1:12" ht="20.100000000000001" customHeight="1">
      <c r="A129" s="15">
        <v>120</v>
      </c>
      <c r="B129" s="15" t="str">
        <f t="shared" si="2"/>
        <v>142C</v>
      </c>
      <c r="C129" s="15" t="str">
        <f>+'R544000-C'!A53</f>
        <v>VARIOS</v>
      </c>
      <c r="D129" s="251" t="str">
        <f>+'R544000-C'!C53</f>
        <v>Cumplementar parametros de control de calidad.(8)</v>
      </c>
      <c r="E129" s="252"/>
      <c r="F129" s="252"/>
      <c r="G129" s="252"/>
      <c r="H129" s="252"/>
      <c r="I129" s="253"/>
      <c r="J129" s="15" t="str">
        <f>+'R544000-C'!D53</f>
        <v>R</v>
      </c>
      <c r="K129" s="17">
        <f>+'R544000-C'!M53</f>
        <v>0.01</v>
      </c>
      <c r="L129" s="16">
        <f>+'R544000-C'!N53</f>
        <v>1.3200000000000002E-2</v>
      </c>
    </row>
    <row r="130" spans="1:12" ht="20.100000000000001" customHeight="1">
      <c r="A130" s="15">
        <v>121</v>
      </c>
      <c r="B130" s="15" t="str">
        <f t="shared" si="2"/>
        <v>142C</v>
      </c>
      <c r="C130" s="15" t="str">
        <f>+'R544000-C'!A54</f>
        <v>VARIOS</v>
      </c>
      <c r="D130" s="251" t="str">
        <f>+'R544000-C'!C54</f>
        <v>Modificar pantalla, seleccionar referencia de combinación.</v>
      </c>
      <c r="E130" s="252"/>
      <c r="F130" s="252"/>
      <c r="G130" s="252"/>
      <c r="H130" s="252"/>
      <c r="I130" s="253"/>
      <c r="J130" s="15" t="str">
        <f>+'R544000-C'!D54</f>
        <v>R</v>
      </c>
      <c r="K130" s="17">
        <f>+'R544000-C'!M54</f>
        <v>2.5000000000000001E-3</v>
      </c>
      <c r="L130" s="16">
        <f>+'R544000-C'!N54</f>
        <v>1.3750000000000001E-3</v>
      </c>
    </row>
    <row r="131" spans="1:12" ht="20.100000000000001" customHeight="1">
      <c r="A131" s="15">
        <v>122</v>
      </c>
      <c r="B131" s="15" t="str">
        <f t="shared" si="2"/>
        <v>142C</v>
      </c>
      <c r="C131" s="15" t="str">
        <f>+'R544000-C'!A55</f>
        <v>VARIOS</v>
      </c>
      <c r="D131" s="251" t="str">
        <f>+'R544000-C'!C55</f>
        <v>Etiquetas gear flow</v>
      </c>
      <c r="E131" s="252"/>
      <c r="F131" s="252"/>
      <c r="G131" s="252"/>
      <c r="H131" s="252"/>
      <c r="I131" s="253"/>
      <c r="J131" s="15" t="str">
        <f>+'R544000-C'!D55</f>
        <v>R</v>
      </c>
      <c r="K131" s="17">
        <f>+'R544000-C'!M55</f>
        <v>5.7142857142857143E-3</v>
      </c>
      <c r="L131" s="16">
        <f>+'R544000-C'!N55</f>
        <v>1.2257142857142861E-2</v>
      </c>
    </row>
    <row r="132" spans="1:12" ht="20.100000000000001" customHeight="1">
      <c r="A132" s="15">
        <v>123</v>
      </c>
      <c r="B132" s="15" t="str">
        <f t="shared" si="2"/>
        <v>142C</v>
      </c>
      <c r="C132" s="15" t="str">
        <f>+'R544000-C'!A56</f>
        <v>TORNO</v>
      </c>
      <c r="D132" s="251" t="str">
        <f>+'R544000-C'!C56</f>
        <v>CH.-Abrir puertas y desplazar torreta a posición de trabajo</v>
      </c>
      <c r="E132" s="252"/>
      <c r="F132" s="252"/>
      <c r="G132" s="252"/>
      <c r="H132" s="252"/>
      <c r="I132" s="253"/>
      <c r="J132" s="15" t="str">
        <f>+'R544000-C'!D56</f>
        <v>D</v>
      </c>
      <c r="K132" s="17">
        <f>+'R544000-C'!M56</f>
        <v>2.5000000000000001E-3</v>
      </c>
      <c r="L132" s="16">
        <f>+'R544000-C'!N56</f>
        <v>2.5300000000000006E-3</v>
      </c>
    </row>
    <row r="133" spans="1:12" ht="20.100000000000001" customHeight="1">
      <c r="A133" s="15">
        <v>124</v>
      </c>
      <c r="B133" s="15" t="str">
        <f t="shared" si="2"/>
        <v>142C</v>
      </c>
      <c r="C133" s="15" t="str">
        <f>+'R544000-C'!A57</f>
        <v>TORNO</v>
      </c>
      <c r="D133" s="251" t="str">
        <f>+'R544000-C'!C57</f>
        <v>CH.-Cambio  herramientas 2º cabezal, soplando herramienta y gitando torreta.</v>
      </c>
      <c r="E133" s="252"/>
      <c r="F133" s="252"/>
      <c r="G133" s="252"/>
      <c r="H133" s="252"/>
      <c r="I133" s="253"/>
      <c r="J133" s="15" t="str">
        <f>+'R544000-C'!D57</f>
        <v>D</v>
      </c>
      <c r="K133" s="17">
        <f>+'R544000-C'!M57</f>
        <v>2.5000000000000001E-3</v>
      </c>
      <c r="L133" s="16">
        <f>+'R544000-C'!N57</f>
        <v>2.5575000000000007E-2</v>
      </c>
    </row>
    <row r="134" spans="1:12" ht="20.100000000000001" customHeight="1">
      <c r="A134" s="15">
        <v>125</v>
      </c>
      <c r="B134" s="15" t="str">
        <f t="shared" si="2"/>
        <v>142C</v>
      </c>
      <c r="C134" s="15" t="str">
        <f>+'R544000-C'!A58</f>
        <v>TORNO</v>
      </c>
      <c r="D134" s="251" t="str">
        <f>+'R544000-C'!C58</f>
        <v>CH.- Cambio  herramientas 1º cabezal, soplando herramienta  y girando torreta.</v>
      </c>
      <c r="E134" s="252"/>
      <c r="F134" s="252"/>
      <c r="G134" s="252"/>
      <c r="H134" s="252"/>
      <c r="I134" s="253"/>
      <c r="J134" s="15" t="str">
        <f>+'R544000-C'!D58</f>
        <v>D</v>
      </c>
      <c r="K134" s="17">
        <f>+'R544000-C'!M58</f>
        <v>2.5000000000000001E-3</v>
      </c>
      <c r="L134" s="16">
        <f>+'R544000-C'!N58</f>
        <v>1.8645000000000002E-2</v>
      </c>
    </row>
    <row r="135" spans="1:12" ht="20.100000000000001" customHeight="1">
      <c r="A135" s="15">
        <v>126</v>
      </c>
      <c r="B135" s="15" t="str">
        <f t="shared" si="2"/>
        <v>142C</v>
      </c>
      <c r="C135" s="15" t="str">
        <f>+'R544000-C'!A59</f>
        <v>TORNO</v>
      </c>
      <c r="D135" s="251" t="str">
        <f>+'R544000-C'!C59</f>
        <v>CH.- Posicionar cabezales, cerrar puertas e iniciar programa de medición.</v>
      </c>
      <c r="E135" s="252"/>
      <c r="F135" s="252"/>
      <c r="G135" s="252"/>
      <c r="H135" s="252"/>
      <c r="I135" s="253"/>
      <c r="J135" s="15" t="str">
        <f>+'R544000-C'!D59</f>
        <v>D</v>
      </c>
      <c r="K135" s="17">
        <f>+'R544000-C'!M59</f>
        <v>2.5000000000000001E-3</v>
      </c>
      <c r="L135" s="16">
        <f>+'R544000-C'!N59</f>
        <v>1.9250000000000001E-3</v>
      </c>
    </row>
    <row r="136" spans="1:12" ht="20.100000000000001" customHeight="1">
      <c r="A136" s="15">
        <v>127</v>
      </c>
      <c r="B136" s="15" t="str">
        <f t="shared" si="2"/>
        <v>142C</v>
      </c>
      <c r="C136" s="15" t="str">
        <f>+'R544000-C'!A60</f>
        <v>TORNO</v>
      </c>
      <c r="D136" s="251" t="str">
        <f>+'R544000-C'!C60</f>
        <v>CH.-Medición de herramientas.</v>
      </c>
      <c r="E136" s="252"/>
      <c r="F136" s="252"/>
      <c r="G136" s="252"/>
      <c r="H136" s="252"/>
      <c r="I136" s="253"/>
      <c r="J136" s="15" t="str">
        <f>+'R544000-C'!D60</f>
        <v>D</v>
      </c>
      <c r="K136" s="17">
        <f>+'R544000-C'!M60</f>
        <v>2.5000000000000001E-3</v>
      </c>
      <c r="L136" s="16">
        <f>+'R544000-C'!N60</f>
        <v>6.875E-3</v>
      </c>
    </row>
    <row r="137" spans="1:12" ht="20.100000000000001" customHeight="1">
      <c r="A137" s="15">
        <v>128</v>
      </c>
      <c r="B137" s="15" t="str">
        <f t="shared" si="2"/>
        <v>142C</v>
      </c>
      <c r="C137" s="15" t="str">
        <f>+'R544000-C'!A61</f>
        <v>TORNO</v>
      </c>
      <c r="D137" s="251" t="str">
        <f>+'R544000-C'!C61</f>
        <v>CH.- Hacer pieza y medir hasta corregir,</v>
      </c>
      <c r="E137" s="252"/>
      <c r="F137" s="252"/>
      <c r="G137" s="252"/>
      <c r="H137" s="252"/>
      <c r="I137" s="253"/>
      <c r="J137" s="15" t="str">
        <f>+'R544000-C'!D61</f>
        <v>D</v>
      </c>
      <c r="K137" s="17">
        <f>+'R544000-C'!M61</f>
        <v>2.5000000000000001E-3</v>
      </c>
      <c r="L137" s="16">
        <f>+'R544000-C'!N61</f>
        <v>2.145E-2</v>
      </c>
    </row>
    <row r="138" spans="1:12" ht="20.100000000000001" customHeight="1">
      <c r="A138" s="15">
        <v>129</v>
      </c>
      <c r="B138" s="15" t="str">
        <f t="shared" si="2"/>
        <v>142C</v>
      </c>
      <c r="C138" s="15" t="str">
        <f>+'R544000-C'!A62</f>
        <v>TORNO</v>
      </c>
      <c r="D138" s="251" t="str">
        <f>+'R544000-C'!C62</f>
        <v>Medir pieza en inicio de turno. MEDICIÓN=0,691</v>
      </c>
      <c r="E138" s="252"/>
      <c r="F138" s="252"/>
      <c r="G138" s="252"/>
      <c r="H138" s="252"/>
      <c r="I138" s="253"/>
      <c r="J138" s="15" t="str">
        <f>+'R544000-C'!D62</f>
        <v>R</v>
      </c>
      <c r="K138" s="17">
        <f>+'R544000-C'!M62</f>
        <v>2.5000000000000001E-3</v>
      </c>
      <c r="L138" s="16">
        <f>+'R544000-C'!N62</f>
        <v>1.7349999999999996E-3</v>
      </c>
    </row>
    <row r="139" spans="1:12" ht="20.100000000000001" customHeight="1">
      <c r="A139" s="15">
        <v>130</v>
      </c>
      <c r="B139" s="15" t="str">
        <f t="shared" si="2"/>
        <v>142C</v>
      </c>
      <c r="C139" s="15" t="str">
        <f>+'R544000-C'!A63</f>
        <v>VARIOS</v>
      </c>
      <c r="D139" s="251" t="str">
        <f>+'R544000-C'!C63</f>
        <v>Programa creces. Doble pieza de medición.</v>
      </c>
      <c r="E139" s="252"/>
      <c r="F139" s="252"/>
      <c r="G139" s="252"/>
      <c r="H139" s="252"/>
      <c r="I139" s="253"/>
      <c r="J139" s="15" t="str">
        <f>+'R544000-C'!D63</f>
        <v>MC</v>
      </c>
      <c r="K139" s="17">
        <f>+'R544000-C'!M63</f>
        <v>2.5000000000000001E-3</v>
      </c>
      <c r="L139" s="16">
        <f>+'R544000-C'!N63</f>
        <v>5.7499999999999999E-3</v>
      </c>
    </row>
    <row r="140" spans="1:12" ht="20.100000000000001" customHeight="1">
      <c r="A140" s="15">
        <v>131</v>
      </c>
      <c r="B140" s="15" t="str">
        <f t="shared" si="2"/>
        <v>142C</v>
      </c>
      <c r="C140" s="15" t="str">
        <f>+'R544000-C'!A64</f>
        <v>CELULA</v>
      </c>
      <c r="D140" s="251" t="str">
        <f>+'R544000-C'!C64</f>
        <v>Limpiar pieza y secar</v>
      </c>
      <c r="E140" s="252"/>
      <c r="F140" s="252"/>
      <c r="G140" s="252"/>
      <c r="H140" s="252"/>
      <c r="I140" s="253"/>
      <c r="J140" s="15" t="str">
        <f>+'R544000-C'!D64</f>
        <v>R</v>
      </c>
      <c r="K140" s="17">
        <f>+'R544000-C'!M64</f>
        <v>2.5000000000000001E-3</v>
      </c>
      <c r="L140" s="16">
        <f>+'R544000-C'!N64</f>
        <v>2.4640000000000005E-3</v>
      </c>
    </row>
    <row r="141" spans="1:12" ht="40.5" customHeight="1">
      <c r="A141" s="15">
        <v>132</v>
      </c>
      <c r="B141" s="15" t="str">
        <f t="shared" si="2"/>
        <v>142C</v>
      </c>
      <c r="C141" s="15" t="str">
        <f>+'R544000-C'!A65</f>
        <v>CELULA</v>
      </c>
      <c r="D141" s="284" t="str">
        <f>+'R544000-C'!C65</f>
        <v>Desplazarse con pieza a verificación, apuntar referencia en papel y dejar. 
30 MTS A-119=,076+,442=0,518 + 0,115</v>
      </c>
      <c r="E141" s="285"/>
      <c r="F141" s="285"/>
      <c r="G141" s="285"/>
      <c r="H141" s="285"/>
      <c r="I141" s="286"/>
      <c r="J141" s="15" t="str">
        <f>+'R544000-C'!D65</f>
        <v>R</v>
      </c>
      <c r="K141" s="17">
        <f>+'R544000-C'!M65</f>
        <v>2.5000000000000001E-3</v>
      </c>
      <c r="L141" s="16">
        <f>+'R544000-C'!N65</f>
        <v>1.5825000000000001E-3</v>
      </c>
    </row>
    <row r="142" spans="1:12" ht="20.100000000000001" customHeight="1">
      <c r="A142" s="15">
        <v>133</v>
      </c>
      <c r="B142" s="15" t="str">
        <f t="shared" si="2"/>
        <v>142C</v>
      </c>
      <c r="C142" s="15" t="str">
        <f>+'R544000-C'!A66</f>
        <v>CELULA</v>
      </c>
      <c r="D142" s="251" t="str">
        <f>+'R544000-C'!C66</f>
        <v>Coger pieza y desplazarse a celula.60 MTS G-1058=,798</v>
      </c>
      <c r="E142" s="252"/>
      <c r="F142" s="252"/>
      <c r="G142" s="252"/>
      <c r="H142" s="252"/>
      <c r="I142" s="253"/>
      <c r="J142" s="15" t="str">
        <f>+'R544000-C'!D66</f>
        <v>R</v>
      </c>
      <c r="K142" s="17">
        <f>+'R544000-C'!M66</f>
        <v>2.5000000000000001E-3</v>
      </c>
      <c r="L142" s="16">
        <f>+'R544000-C'!N66</f>
        <v>1.9950000000000002E-3</v>
      </c>
    </row>
    <row r="143" spans="1:12" ht="20.100000000000001" customHeight="1">
      <c r="A143" s="15">
        <v>134</v>
      </c>
      <c r="B143" s="15" t="str">
        <f t="shared" si="2"/>
        <v>142C</v>
      </c>
      <c r="C143" s="15" t="str">
        <f>+'R544000-C'!A67</f>
        <v>CELULA</v>
      </c>
      <c r="D143" s="251" t="str">
        <f>+'R544000-C'!C67</f>
        <v>Coger pieza y desplazarse a celula. 50 MTS A-119=0,846</v>
      </c>
      <c r="E143" s="252"/>
      <c r="F143" s="252"/>
      <c r="G143" s="252"/>
      <c r="H143" s="252"/>
      <c r="I143" s="253"/>
      <c r="J143" s="15" t="str">
        <f>+'R544000-C'!D67</f>
        <v>R</v>
      </c>
      <c r="K143" s="17">
        <f>+'R544000-C'!M67</f>
        <v>2.5000000000000001E-3</v>
      </c>
      <c r="L143" s="16">
        <f>+'R544000-C'!N67</f>
        <v>2.1149999999999997E-3</v>
      </c>
    </row>
    <row r="144" spans="1:12" ht="20.100000000000001" customHeight="1">
      <c r="A144" s="15">
        <v>135</v>
      </c>
      <c r="B144" s="15" t="str">
        <f>+$D$6</f>
        <v>142D</v>
      </c>
      <c r="C144" s="15" t="str">
        <f>+'DZ133378-D'!A16</f>
        <v>TORNO</v>
      </c>
      <c r="D144" s="251" t="str">
        <f>+'DZ133378-D'!C16</f>
        <v>TORNEAR</v>
      </c>
      <c r="E144" s="252"/>
      <c r="F144" s="252"/>
      <c r="G144" s="252"/>
      <c r="H144" s="252"/>
      <c r="I144" s="253"/>
      <c r="J144" s="15" t="str">
        <f>+'DZ133378-D'!D16</f>
        <v>M</v>
      </c>
      <c r="K144" s="17">
        <f>+'DZ133378-D'!M16</f>
        <v>1</v>
      </c>
      <c r="L144" s="16">
        <f>+'DZ133378-D'!N16</f>
        <v>1.2</v>
      </c>
    </row>
    <row r="145" spans="1:12" ht="20.100000000000001" customHeight="1">
      <c r="A145" s="15">
        <v>136</v>
      </c>
      <c r="B145" s="15" t="str">
        <f t="shared" ref="B145:B179" si="3">+$D$6</f>
        <v>142D</v>
      </c>
      <c r="C145" s="15" t="str">
        <f>+'DZ133378-D'!A17</f>
        <v>TORNO</v>
      </c>
      <c r="D145" s="251" t="str">
        <f>+'DZ133378-D'!C17</f>
        <v>Desplazarse vacio a zona de trabajo.</v>
      </c>
      <c r="E145" s="252"/>
      <c r="F145" s="252"/>
      <c r="G145" s="252"/>
      <c r="H145" s="252"/>
      <c r="I145" s="253"/>
      <c r="J145" s="15" t="str">
        <f>+'DZ133378-D'!D17</f>
        <v>R</v>
      </c>
      <c r="K145" s="17">
        <f>+'DZ133378-D'!M17</f>
        <v>0.04</v>
      </c>
      <c r="L145" s="16">
        <f>+'DZ133378-D'!N17</f>
        <v>6.7760000000000025E-3</v>
      </c>
    </row>
    <row r="146" spans="1:12" ht="20.100000000000001" customHeight="1">
      <c r="A146" s="15">
        <v>137</v>
      </c>
      <c r="B146" s="15" t="str">
        <f t="shared" si="3"/>
        <v>142D</v>
      </c>
      <c r="C146" s="15" t="str">
        <f>+'DZ133378-D'!A18</f>
        <v>TORNO</v>
      </c>
      <c r="D146" s="251" t="str">
        <f>+'DZ133378-D'!C18</f>
        <v>Soplar con manguera de aire pieza a verificar.</v>
      </c>
      <c r="E146" s="252"/>
      <c r="F146" s="252"/>
      <c r="G146" s="252"/>
      <c r="H146" s="252"/>
      <c r="I146" s="253"/>
      <c r="J146" s="15" t="str">
        <f>+'DZ133378-D'!D18</f>
        <v>R</v>
      </c>
      <c r="K146" s="17">
        <f>+'DZ133378-D'!M18</f>
        <v>5.0000000000000001E-3</v>
      </c>
      <c r="L146" s="16">
        <f>+'DZ133378-D'!N18</f>
        <v>6.0500000000000018E-4</v>
      </c>
    </row>
    <row r="147" spans="1:12" ht="39.75" customHeight="1">
      <c r="A147" s="15">
        <v>138</v>
      </c>
      <c r="B147" s="15" t="str">
        <f t="shared" si="3"/>
        <v>142D</v>
      </c>
      <c r="C147" s="15" t="str">
        <f>+'DZ133378-D'!A19</f>
        <v>TORNO</v>
      </c>
      <c r="D147" s="284" t="str">
        <f>+'DZ133378-D'!C19</f>
        <v>Tol. Verificar con calibre de herradura F-49-16-16120 Ø 144,75 ± 0,05 mm. F 14=0,081+0,046*2=0,173</v>
      </c>
      <c r="E147" s="285"/>
      <c r="F147" s="285"/>
      <c r="G147" s="285"/>
      <c r="H147" s="285"/>
      <c r="I147" s="286"/>
      <c r="J147" s="15" t="str">
        <f>+'DZ133378-D'!D19</f>
        <v>R</v>
      </c>
      <c r="K147" s="17">
        <f>+'DZ133378-D'!M19</f>
        <v>5.0000000000000001E-3</v>
      </c>
      <c r="L147" s="16">
        <f>+'DZ133378-D'!N19</f>
        <v>8.6499999999999978E-4</v>
      </c>
    </row>
    <row r="148" spans="1:12" ht="20.100000000000001" customHeight="1">
      <c r="A148" s="15">
        <v>139</v>
      </c>
      <c r="B148" s="15" t="str">
        <f t="shared" si="3"/>
        <v>142D</v>
      </c>
      <c r="C148" s="15" t="str">
        <f>+'DZ133378-D'!A20</f>
        <v>TORNO</v>
      </c>
      <c r="D148" s="251" t="str">
        <f>+'DZ133378-D'!C20</f>
        <v>Tol. Verificar con calibre de herradura F-49-16-16121  36,2 ± 0,04 mm.</v>
      </c>
      <c r="E148" s="252"/>
      <c r="F148" s="252"/>
      <c r="G148" s="252"/>
      <c r="H148" s="252"/>
      <c r="I148" s="253"/>
      <c r="J148" s="15" t="str">
        <f>+'DZ133378-D'!D20</f>
        <v>R</v>
      </c>
      <c r="K148" s="17">
        <f>+'DZ133378-D'!M20</f>
        <v>5.0000000000000001E-3</v>
      </c>
      <c r="L148" s="16">
        <f>+'DZ133378-D'!N20</f>
        <v>8.6499999999999978E-4</v>
      </c>
    </row>
    <row r="149" spans="1:12" ht="20.100000000000001" customHeight="1">
      <c r="A149" s="15">
        <v>140</v>
      </c>
      <c r="B149" s="15" t="str">
        <f t="shared" si="3"/>
        <v>142D</v>
      </c>
      <c r="C149" s="15" t="str">
        <f>+'DZ133378-D'!A21</f>
        <v>TORNO</v>
      </c>
      <c r="D149" s="251" t="str">
        <f>+'DZ133378-D'!C21</f>
        <v>Tol. Verificar con tampon Marposs F-49-14-15200 Ø 87,649 (+0,01 / +0,04) mm.</v>
      </c>
      <c r="E149" s="252"/>
      <c r="F149" s="252"/>
      <c r="G149" s="252"/>
      <c r="H149" s="252"/>
      <c r="I149" s="253"/>
      <c r="J149" s="15" t="str">
        <f>+'DZ133378-D'!D21</f>
        <v>R</v>
      </c>
      <c r="K149" s="17">
        <f>+'DZ133378-D'!M21</f>
        <v>5.0000000000000001E-3</v>
      </c>
      <c r="L149" s="16">
        <f>+'DZ133378-D'!N21</f>
        <v>7.7866499999999989E-4</v>
      </c>
    </row>
    <row r="150" spans="1:12" ht="20.100000000000001" customHeight="1">
      <c r="A150" s="15">
        <v>141</v>
      </c>
      <c r="B150" s="15" t="str">
        <f t="shared" si="3"/>
        <v>142D</v>
      </c>
      <c r="C150" s="15" t="str">
        <f>+'DZ133378-D'!A22</f>
        <v>TORNO</v>
      </c>
      <c r="D150" s="251" t="str">
        <f>+'DZ133378-D'!C22</f>
        <v>Tol. Verificar con comparador con marmol</v>
      </c>
      <c r="E150" s="252"/>
      <c r="F150" s="252"/>
      <c r="G150" s="252"/>
      <c r="H150" s="252"/>
      <c r="I150" s="253"/>
      <c r="J150" s="15" t="str">
        <f>+'DZ133378-D'!D22</f>
        <v>R</v>
      </c>
      <c r="K150" s="17">
        <f>+'DZ133378-D'!M22</f>
        <v>5.0000000000000001E-3</v>
      </c>
      <c r="L150" s="16">
        <f>+'DZ133378-D'!N22</f>
        <v>1.60655E-3</v>
      </c>
    </row>
    <row r="151" spans="1:12" ht="20.100000000000001" customHeight="1">
      <c r="A151" s="15">
        <v>142</v>
      </c>
      <c r="B151" s="15" t="str">
        <f t="shared" si="3"/>
        <v>142D</v>
      </c>
      <c r="C151" s="15" t="str">
        <f>+'DZ133378-D'!A23</f>
        <v>TORNO</v>
      </c>
      <c r="D151" s="251" t="str">
        <f>+'DZ133378-D'!C23</f>
        <v>CH.-Abrir puertas y desplazar torreta a posición de trabajo</v>
      </c>
      <c r="E151" s="252"/>
      <c r="F151" s="252"/>
      <c r="G151" s="252"/>
      <c r="H151" s="252"/>
      <c r="I151" s="253"/>
      <c r="J151" s="15" t="str">
        <f>+'DZ133378-D'!D23</f>
        <v>D</v>
      </c>
      <c r="K151" s="17">
        <f>+'DZ133378-D'!M23</f>
        <v>1.6666666666666668E-3</v>
      </c>
      <c r="L151" s="16">
        <f>+'DZ133378-D'!N23</f>
        <v>1.6866666666666673E-3</v>
      </c>
    </row>
    <row r="152" spans="1:12" ht="20.100000000000001" customHeight="1">
      <c r="A152" s="15">
        <v>143</v>
      </c>
      <c r="B152" s="15" t="str">
        <f t="shared" si="3"/>
        <v>142D</v>
      </c>
      <c r="C152" s="15" t="str">
        <f>+'DZ133378-D'!A24</f>
        <v>TORNO</v>
      </c>
      <c r="D152" s="251" t="str">
        <f>+'DZ133378-D'!C24</f>
        <v>CH.-Cambio  herramientas 2º cabezal, soplando herramienta y gitando torreta.</v>
      </c>
      <c r="E152" s="252"/>
      <c r="F152" s="252"/>
      <c r="G152" s="252"/>
      <c r="H152" s="252"/>
      <c r="I152" s="253"/>
      <c r="J152" s="15" t="str">
        <f>+'DZ133378-D'!D24</f>
        <v>D</v>
      </c>
      <c r="K152" s="17">
        <f>+'DZ133378-D'!M24</f>
        <v>1.6666666666666668E-3</v>
      </c>
      <c r="L152" s="16">
        <f>+'DZ133378-D'!N24</f>
        <v>1.7050000000000006E-2</v>
      </c>
    </row>
    <row r="153" spans="1:12" ht="20.100000000000001" customHeight="1">
      <c r="A153" s="15">
        <v>144</v>
      </c>
      <c r="B153" s="15" t="str">
        <f t="shared" si="3"/>
        <v>142D</v>
      </c>
      <c r="C153" s="15" t="str">
        <f>+'DZ133378-D'!A25</f>
        <v>TORNO</v>
      </c>
      <c r="D153" s="251" t="str">
        <f>+'DZ133378-D'!C25</f>
        <v>CH.- Cambio  herramientas 1º cabezal, soplando herramienta  y girando torreta.</v>
      </c>
      <c r="E153" s="252"/>
      <c r="F153" s="252"/>
      <c r="G153" s="252"/>
      <c r="H153" s="252"/>
      <c r="I153" s="253"/>
      <c r="J153" s="15" t="str">
        <f>+'DZ133378-D'!D25</f>
        <v>D</v>
      </c>
      <c r="K153" s="17">
        <f>+'DZ133378-D'!M25</f>
        <v>1.6666666666666668E-3</v>
      </c>
      <c r="L153" s="16">
        <f>+'DZ133378-D'!N25</f>
        <v>1.2430000000000002E-2</v>
      </c>
    </row>
    <row r="154" spans="1:12" ht="20.100000000000001" customHeight="1">
      <c r="A154" s="15">
        <v>145</v>
      </c>
      <c r="B154" s="15" t="str">
        <f t="shared" si="3"/>
        <v>142D</v>
      </c>
      <c r="C154" s="15" t="str">
        <f>+'DZ133378-D'!A26</f>
        <v>TORNO</v>
      </c>
      <c r="D154" s="251" t="str">
        <f>+'DZ133378-D'!C26</f>
        <v>CH.- Posicionar cabezales, cerrar puertas e iniciar programa de medición.</v>
      </c>
      <c r="E154" s="252"/>
      <c r="F154" s="252"/>
      <c r="G154" s="252"/>
      <c r="H154" s="252"/>
      <c r="I154" s="253"/>
      <c r="J154" s="15" t="str">
        <f>+'DZ133378-D'!D26</f>
        <v>D</v>
      </c>
      <c r="K154" s="17">
        <f>+'DZ133378-D'!M26</f>
        <v>1.6666666666666668E-3</v>
      </c>
      <c r="L154" s="16">
        <f>+'DZ133378-D'!N26</f>
        <v>1.2833333333333334E-3</v>
      </c>
    </row>
    <row r="155" spans="1:12" ht="20.100000000000001" customHeight="1">
      <c r="A155" s="15">
        <v>146</v>
      </c>
      <c r="B155" s="15" t="str">
        <f t="shared" si="3"/>
        <v>142D</v>
      </c>
      <c r="C155" s="15" t="str">
        <f>+'DZ133378-D'!A27</f>
        <v>TORNO</v>
      </c>
      <c r="D155" s="251" t="str">
        <f>+'DZ133378-D'!C27</f>
        <v>CH.-Medición de herramientas.</v>
      </c>
      <c r="E155" s="252"/>
      <c r="F155" s="252"/>
      <c r="G155" s="252"/>
      <c r="H155" s="252"/>
      <c r="I155" s="253"/>
      <c r="J155" s="15" t="str">
        <f>+'DZ133378-D'!D27</f>
        <v>D</v>
      </c>
      <c r="K155" s="17">
        <f>+'DZ133378-D'!M27</f>
        <v>1.6666666666666668E-3</v>
      </c>
      <c r="L155" s="16">
        <f>+'DZ133378-D'!N27</f>
        <v>4.5833333333333334E-3</v>
      </c>
    </row>
    <row r="156" spans="1:12" ht="20.100000000000001" customHeight="1">
      <c r="A156" s="15">
        <v>147</v>
      </c>
      <c r="B156" s="15" t="str">
        <f t="shared" si="3"/>
        <v>142D</v>
      </c>
      <c r="C156" s="15" t="str">
        <f>+'DZ133378-D'!A28</f>
        <v>TORNO</v>
      </c>
      <c r="D156" s="251" t="str">
        <f>+'DZ133378-D'!C28</f>
        <v>CH.- Hacer pieza y medir hasta corregir,</v>
      </c>
      <c r="E156" s="252"/>
      <c r="F156" s="252"/>
      <c r="G156" s="252"/>
      <c r="H156" s="252"/>
      <c r="I156" s="253"/>
      <c r="J156" s="15" t="str">
        <f>+'DZ133378-D'!D28</f>
        <v>D</v>
      </c>
      <c r="K156" s="17">
        <f>+'DZ133378-D'!M28</f>
        <v>1.6666666666666668E-3</v>
      </c>
      <c r="L156" s="16">
        <f>+'DZ133378-D'!N28</f>
        <v>1.43E-2</v>
      </c>
    </row>
    <row r="157" spans="1:12" ht="20.100000000000001" customHeight="1">
      <c r="A157" s="15">
        <v>148</v>
      </c>
      <c r="B157" s="15" t="str">
        <f t="shared" si="3"/>
        <v>142D</v>
      </c>
      <c r="C157" s="15" t="str">
        <f>+'DZ133378-D'!A29</f>
        <v>TORNO</v>
      </c>
      <c r="D157" s="251" t="str">
        <f>+'DZ133378-D'!C29</f>
        <v>Medir pieza en inicio de turno. MEDICIÓN=0,691</v>
      </c>
      <c r="E157" s="252"/>
      <c r="F157" s="252"/>
      <c r="G157" s="252"/>
      <c r="H157" s="252"/>
      <c r="I157" s="253"/>
      <c r="J157" s="15" t="str">
        <f>+'DZ133378-D'!D29</f>
        <v>R</v>
      </c>
      <c r="K157" s="17">
        <f>+'DZ133378-D'!M29</f>
        <v>1.6666666666666668E-3</v>
      </c>
      <c r="L157" s="16">
        <f>+'DZ133378-D'!N29</f>
        <v>1.1566666666666665E-3</v>
      </c>
    </row>
    <row r="158" spans="1:12" ht="20.100000000000001" customHeight="1">
      <c r="A158" s="15">
        <v>149</v>
      </c>
      <c r="B158" s="15" t="str">
        <f t="shared" si="3"/>
        <v>142D</v>
      </c>
      <c r="C158" s="15" t="str">
        <f>+'DZ133378-D'!A30</f>
        <v>TALLADORA</v>
      </c>
      <c r="D158" s="251" t="str">
        <f>+'DZ133378-D'!C30</f>
        <v>TALLAR</v>
      </c>
      <c r="E158" s="252"/>
      <c r="F158" s="252"/>
      <c r="G158" s="252"/>
      <c r="H158" s="252"/>
      <c r="I158" s="253"/>
      <c r="J158" s="15" t="str">
        <f>+'DZ133378-D'!D30</f>
        <v>MC</v>
      </c>
      <c r="K158" s="17">
        <f>+'DZ133378-D'!M30</f>
        <v>1</v>
      </c>
      <c r="L158" s="16">
        <f>+'DZ133378-D'!N30</f>
        <v>1.9</v>
      </c>
    </row>
    <row r="159" spans="1:12" ht="20.100000000000001" customHeight="1">
      <c r="A159" s="15">
        <v>150</v>
      </c>
      <c r="B159" s="15" t="str">
        <f t="shared" si="3"/>
        <v>142D</v>
      </c>
      <c r="C159" s="15" t="str">
        <f>+'DZ133378-D'!A31</f>
        <v>TALLADORA</v>
      </c>
      <c r="D159" s="251" t="str">
        <f>+'DZ133378-D'!C31</f>
        <v>Soplar con manguera de aire pieza a verificar.</v>
      </c>
      <c r="E159" s="252"/>
      <c r="F159" s="252"/>
      <c r="G159" s="252"/>
      <c r="H159" s="252"/>
      <c r="I159" s="253"/>
      <c r="J159" s="15" t="str">
        <f>+'DZ133378-D'!D31</f>
        <v>R</v>
      </c>
      <c r="K159" s="17">
        <f>+'DZ133378-D'!M31</f>
        <v>0.01</v>
      </c>
      <c r="L159" s="16">
        <f>+'DZ133378-D'!N31</f>
        <v>1.2100000000000004E-3</v>
      </c>
    </row>
    <row r="160" spans="1:12" ht="38.25" customHeight="1">
      <c r="A160" s="15">
        <v>151</v>
      </c>
      <c r="B160" s="15" t="str">
        <f t="shared" si="3"/>
        <v>142D</v>
      </c>
      <c r="C160" s="15" t="str">
        <f>+'DZ133378-D'!A32</f>
        <v>TALLADORA</v>
      </c>
      <c r="D160" s="284" t="str">
        <f>+'DZ133378-D'!C32</f>
        <v>Tol. Verificar con micro de platillos  F-49-35-00021 / 013  56,07 - 56,10  F-72=,114+,072=,186</v>
      </c>
      <c r="E160" s="285"/>
      <c r="F160" s="285"/>
      <c r="G160" s="285"/>
      <c r="H160" s="285"/>
      <c r="I160" s="286"/>
      <c r="J160" s="15" t="str">
        <f>+'DZ133378-D'!D32</f>
        <v>R</v>
      </c>
      <c r="K160" s="17">
        <f>+'DZ133378-D'!M32</f>
        <v>0.01</v>
      </c>
      <c r="L160" s="16">
        <f>+'DZ133378-D'!N32</f>
        <v>1.8600000000000003E-3</v>
      </c>
    </row>
    <row r="161" spans="1:12" ht="20.100000000000001" customHeight="1">
      <c r="A161" s="15">
        <v>152</v>
      </c>
      <c r="B161" s="15" t="str">
        <f t="shared" si="3"/>
        <v>142D</v>
      </c>
      <c r="C161" s="15" t="str">
        <f>+'DZ133378-D'!A33</f>
        <v>REBERBADORA</v>
      </c>
      <c r="D161" s="251" t="str">
        <f>+'DZ133378-D'!C33</f>
        <v>REBARBAR</v>
      </c>
      <c r="E161" s="252"/>
      <c r="F161" s="252"/>
      <c r="G161" s="252"/>
      <c r="H161" s="252"/>
      <c r="I161" s="253"/>
      <c r="J161" s="15" t="str">
        <f>+'DZ133378-D'!D33</f>
        <v>M</v>
      </c>
      <c r="K161" s="17">
        <f>+'DZ133378-D'!M33</f>
        <v>1</v>
      </c>
      <c r="L161" s="16">
        <f>+'DZ133378-D'!N33</f>
        <v>0.8</v>
      </c>
    </row>
    <row r="162" spans="1:12" ht="20.100000000000001" customHeight="1">
      <c r="A162" s="15">
        <v>153</v>
      </c>
      <c r="B162" s="15" t="str">
        <f t="shared" si="3"/>
        <v>142D</v>
      </c>
      <c r="C162" s="15" t="str">
        <f>+'DZ133378-D'!A34</f>
        <v>BROCHADORA</v>
      </c>
      <c r="D162" s="251" t="str">
        <f>+'DZ133378-D'!C34</f>
        <v>BROCHAR</v>
      </c>
      <c r="E162" s="252"/>
      <c r="F162" s="252"/>
      <c r="G162" s="252"/>
      <c r="H162" s="252"/>
      <c r="I162" s="253"/>
      <c r="J162" s="15" t="str">
        <f>+'DZ133378-D'!D34</f>
        <v>M</v>
      </c>
      <c r="K162" s="17">
        <f>+'DZ133378-D'!M34</f>
        <v>1</v>
      </c>
      <c r="L162" s="16">
        <f>+'DZ133378-D'!N34</f>
        <v>0.55000000000000004</v>
      </c>
    </row>
    <row r="163" spans="1:12" ht="20.100000000000001" customHeight="1">
      <c r="A163" s="15">
        <v>154</v>
      </c>
      <c r="B163" s="15" t="str">
        <f t="shared" si="3"/>
        <v>142D</v>
      </c>
      <c r="C163" s="15" t="str">
        <f>+'DZ133378-D'!A35</f>
        <v>BROCHADORA</v>
      </c>
      <c r="D163" s="251" t="str">
        <f>+'DZ133378-D'!C35</f>
        <v>Soplar con manguera de aire pieza a verificar.</v>
      </c>
      <c r="E163" s="252"/>
      <c r="F163" s="252"/>
      <c r="G163" s="252"/>
      <c r="H163" s="252"/>
      <c r="I163" s="253"/>
      <c r="J163" s="15" t="str">
        <f>+'DZ133378-D'!D35</f>
        <v>R</v>
      </c>
      <c r="K163" s="17">
        <f>+'DZ133378-D'!M35</f>
        <v>0.01</v>
      </c>
      <c r="L163" s="16">
        <f>+'DZ133378-D'!N35</f>
        <v>1.2100000000000004E-3</v>
      </c>
    </row>
    <row r="164" spans="1:12" ht="20.100000000000001" customHeight="1">
      <c r="A164" s="15">
        <v>155</v>
      </c>
      <c r="B164" s="15" t="str">
        <f t="shared" si="3"/>
        <v>142D</v>
      </c>
      <c r="C164" s="15" t="str">
        <f>+'DZ133378-D'!A36</f>
        <v>BROCHADORA</v>
      </c>
      <c r="D164" s="251" t="str">
        <f>+'DZ133378-D'!C36</f>
        <v>Tol. Verificar con calibre de relación chavetero.</v>
      </c>
      <c r="E164" s="252"/>
      <c r="F164" s="252"/>
      <c r="G164" s="252"/>
      <c r="H164" s="252"/>
      <c r="I164" s="253"/>
      <c r="J164" s="15" t="str">
        <f>+'DZ133378-D'!D36</f>
        <v>R</v>
      </c>
      <c r="K164" s="17">
        <f>+'DZ133378-D'!M36</f>
        <v>0.01</v>
      </c>
      <c r="L164" s="16">
        <f>+'DZ133378-D'!N36</f>
        <v>3.8095200000000003E-3</v>
      </c>
    </row>
    <row r="165" spans="1:12" ht="20.100000000000001" customHeight="1">
      <c r="A165" s="15">
        <v>156</v>
      </c>
      <c r="B165" s="15" t="str">
        <f t="shared" si="3"/>
        <v>142D</v>
      </c>
      <c r="C165" s="15" t="str">
        <f>+'DZ133378-D'!A37</f>
        <v>BROCHADORA</v>
      </c>
      <c r="D165" s="251" t="str">
        <f>+'DZ133378-D'!C37</f>
        <v>Tol. Verificar ancho de chavetero. F-25=0,114</v>
      </c>
      <c r="E165" s="252"/>
      <c r="F165" s="252"/>
      <c r="G165" s="252"/>
      <c r="H165" s="252"/>
      <c r="I165" s="253"/>
      <c r="J165" s="15" t="str">
        <f>+'DZ133378-D'!D37</f>
        <v>R</v>
      </c>
      <c r="K165" s="17">
        <f>+'DZ133378-D'!M37</f>
        <v>0.01</v>
      </c>
      <c r="L165" s="16">
        <f>+'DZ133378-D'!N37</f>
        <v>1.1400000000000002E-3</v>
      </c>
    </row>
    <row r="166" spans="1:12" ht="20.100000000000001" customHeight="1">
      <c r="A166" s="15">
        <v>157</v>
      </c>
      <c r="B166" s="15" t="str">
        <f t="shared" si="3"/>
        <v>142D</v>
      </c>
      <c r="C166" s="15" t="str">
        <f>+'DZ133378-D'!A38</f>
        <v>BROCHADORA</v>
      </c>
      <c r="D166" s="251" t="str">
        <f>+'DZ133378-D'!C38</f>
        <v>Tol. Verificar con calibre profundidad chavetero. F-26=0,134</v>
      </c>
      <c r="E166" s="252"/>
      <c r="F166" s="252"/>
      <c r="G166" s="252"/>
      <c r="H166" s="252"/>
      <c r="I166" s="253"/>
      <c r="J166" s="15" t="str">
        <f>+'DZ133378-D'!D38</f>
        <v>R</v>
      </c>
      <c r="K166" s="17">
        <f>+'DZ133378-D'!M38</f>
        <v>0.01</v>
      </c>
      <c r="L166" s="16">
        <f>+'DZ133378-D'!N38</f>
        <v>1.34E-3</v>
      </c>
    </row>
    <row r="167" spans="1:12" ht="20.100000000000001" customHeight="1">
      <c r="A167" s="15">
        <v>158</v>
      </c>
      <c r="B167" s="15" t="str">
        <f t="shared" si="3"/>
        <v>142D</v>
      </c>
      <c r="C167" s="15" t="str">
        <f>+'DZ133378-D'!A39</f>
        <v>BROCHADORA</v>
      </c>
      <c r="D167" s="251" t="str">
        <f>+'DZ133378-D'!C39</f>
        <v>Tol verificas simetria chavetero interior</v>
      </c>
      <c r="E167" s="252"/>
      <c r="F167" s="252"/>
      <c r="G167" s="252"/>
      <c r="H167" s="252"/>
      <c r="I167" s="253"/>
      <c r="J167" s="15" t="str">
        <f>+'DZ133378-D'!D39</f>
        <v>R</v>
      </c>
      <c r="K167" s="17">
        <f>+'DZ133378-D'!M39</f>
        <v>0.01</v>
      </c>
      <c r="L167" s="16">
        <f>+'DZ133378-D'!N39</f>
        <v>1.1400000000000002E-3</v>
      </c>
    </row>
    <row r="168" spans="1:12" ht="20.100000000000001" customHeight="1">
      <c r="A168" s="15">
        <v>159</v>
      </c>
      <c r="B168" s="15" t="str">
        <f t="shared" si="3"/>
        <v>142D</v>
      </c>
      <c r="C168" s="15" t="str">
        <f>+'DZ133378-D'!A40</f>
        <v>BROCHADORA</v>
      </c>
      <c r="D168" s="251" t="str">
        <f>+'DZ133378-D'!C40</f>
        <v>Verificación visual.</v>
      </c>
      <c r="E168" s="252"/>
      <c r="F168" s="252"/>
      <c r="G168" s="252"/>
      <c r="H168" s="252"/>
      <c r="I168" s="253"/>
      <c r="J168" s="15" t="str">
        <f>+'DZ133378-D'!D40</f>
        <v>R</v>
      </c>
      <c r="K168" s="17">
        <f>+'DZ133378-D'!M40</f>
        <v>0.01</v>
      </c>
      <c r="L168" s="16">
        <f>+'DZ133378-D'!N40</f>
        <v>6.5340000000000005E-4</v>
      </c>
    </row>
    <row r="169" spans="1:12" ht="20.100000000000001" customHeight="1">
      <c r="A169" s="15">
        <v>160</v>
      </c>
      <c r="B169" s="15" t="str">
        <f t="shared" si="3"/>
        <v>142D</v>
      </c>
      <c r="C169" s="15" t="str">
        <f>+'DZ133378-D'!A41</f>
        <v>CELULA</v>
      </c>
      <c r="D169" s="251" t="str">
        <f>+'DZ133378-D'!C41</f>
        <v>Pieza a bandeja de salida</v>
      </c>
      <c r="E169" s="252"/>
      <c r="F169" s="252"/>
      <c r="G169" s="252"/>
      <c r="H169" s="252"/>
      <c r="I169" s="253"/>
      <c r="J169" s="15" t="str">
        <f>+'DZ133378-D'!D41</f>
        <v>R</v>
      </c>
      <c r="K169" s="17">
        <f>+'DZ133378-D'!M41</f>
        <v>1.6666666666666666E-2</v>
      </c>
      <c r="L169" s="16">
        <f>+'DZ133378-D'!N41</f>
        <v>2.3191666666666669E-3</v>
      </c>
    </row>
    <row r="170" spans="1:12" ht="20.100000000000001" customHeight="1">
      <c r="A170" s="15">
        <v>161</v>
      </c>
      <c r="B170" s="15" t="str">
        <f t="shared" si="3"/>
        <v>142D</v>
      </c>
      <c r="C170" s="15" t="str">
        <f>+'DZ133378-D'!A42</f>
        <v>VARIOS</v>
      </c>
      <c r="D170" s="251" t="str">
        <f>+'DZ133378-D'!C42</f>
        <v>Traslado a zona de trabajo, según porceda. (20m G-982= 0,323)</v>
      </c>
      <c r="E170" s="252"/>
      <c r="F170" s="252"/>
      <c r="G170" s="252"/>
      <c r="H170" s="252"/>
      <c r="I170" s="253"/>
      <c r="J170" s="15" t="str">
        <f>+'DZ133378-D'!D42</f>
        <v>R</v>
      </c>
      <c r="K170" s="17">
        <f>+'DZ133378-D'!M42</f>
        <v>0.04</v>
      </c>
      <c r="L170" s="16">
        <f>+'DZ133378-D'!N42</f>
        <v>1.2920000000000003E-2</v>
      </c>
    </row>
    <row r="171" spans="1:12" ht="20.100000000000001" customHeight="1">
      <c r="A171" s="15">
        <v>162</v>
      </c>
      <c r="B171" s="15" t="str">
        <f t="shared" si="3"/>
        <v>142D</v>
      </c>
      <c r="C171" s="15" t="str">
        <f>+'DZ133378-D'!A43</f>
        <v>CELULA</v>
      </c>
      <c r="D171" s="251" t="str">
        <f>+'DZ133378-D'!C43</f>
        <v>Limpieza de maquinas final del turno</v>
      </c>
      <c r="E171" s="252"/>
      <c r="F171" s="252"/>
      <c r="G171" s="252"/>
      <c r="H171" s="252"/>
      <c r="I171" s="253"/>
      <c r="J171" s="15" t="str">
        <f>+'DZ133378-D'!D43</f>
        <v>D</v>
      </c>
      <c r="K171" s="17">
        <f>+'DZ133378-D'!M43</f>
        <v>5.0000000000000001E-3</v>
      </c>
      <c r="L171" s="16">
        <f>+'DZ133378-D'!N43</f>
        <v>6.0500000000000005E-2</v>
      </c>
    </row>
    <row r="172" spans="1:12" ht="20.100000000000001" customHeight="1">
      <c r="A172" s="15">
        <v>163</v>
      </c>
      <c r="B172" s="15" t="str">
        <f t="shared" si="3"/>
        <v>142D</v>
      </c>
      <c r="C172" s="15" t="str">
        <f>+'DZ133378-D'!A44</f>
        <v>VARIOS</v>
      </c>
      <c r="D172" s="251" t="str">
        <f>+'DZ133378-D'!C44</f>
        <v>Girar bandeja de piezas 180º</v>
      </c>
      <c r="E172" s="252"/>
      <c r="F172" s="252"/>
      <c r="G172" s="252"/>
      <c r="H172" s="252"/>
      <c r="I172" s="253"/>
      <c r="J172" s="15" t="str">
        <f>+'DZ133378-D'!D44</f>
        <v>R</v>
      </c>
      <c r="K172" s="17">
        <f>+'DZ133378-D'!M44</f>
        <v>6.0606060606060606E-3</v>
      </c>
      <c r="L172" s="16">
        <f>+'DZ133378-D'!N44</f>
        <v>1.3333333333333335E-3</v>
      </c>
    </row>
    <row r="173" spans="1:12" ht="20.100000000000001" customHeight="1">
      <c r="A173" s="15">
        <v>164</v>
      </c>
      <c r="B173" s="15" t="str">
        <f t="shared" si="3"/>
        <v>142D</v>
      </c>
      <c r="C173" s="15" t="str">
        <f>+'DZ133378-D'!A45</f>
        <v>BIN PICKING</v>
      </c>
      <c r="D173" s="251" t="str">
        <f>+'DZ133378-D'!C45</f>
        <v>Cambio de carga bandejas PSP</v>
      </c>
      <c r="E173" s="252"/>
      <c r="F173" s="252"/>
      <c r="G173" s="252"/>
      <c r="H173" s="252"/>
      <c r="I173" s="253"/>
      <c r="J173" s="15" t="str">
        <f>+'DZ133378-D'!D45</f>
        <v>R</v>
      </c>
      <c r="K173" s="17">
        <f>+'DZ133378-D'!M45</f>
        <v>2.976190476190476E-3</v>
      </c>
      <c r="L173" s="16">
        <f>+'DZ133378-D'!N45</f>
        <v>1.6898809523809524E-2</v>
      </c>
    </row>
    <row r="174" spans="1:12" ht="20.100000000000001" customHeight="1">
      <c r="A174" s="15">
        <v>165</v>
      </c>
      <c r="B174" s="15" t="str">
        <f t="shared" si="3"/>
        <v>142D</v>
      </c>
      <c r="C174" s="15" t="str">
        <f>+'DZ133378-D'!A46</f>
        <v>CELULA</v>
      </c>
      <c r="D174" s="251" t="str">
        <f>+'DZ133378-D'!C46</f>
        <v>Cambio de carga bandejas PP</v>
      </c>
      <c r="E174" s="252"/>
      <c r="F174" s="252"/>
      <c r="G174" s="252"/>
      <c r="H174" s="252"/>
      <c r="I174" s="253"/>
      <c r="J174" s="15" t="str">
        <f>+'DZ133378-D'!D46</f>
        <v>R</v>
      </c>
      <c r="K174" s="17">
        <f>+'DZ133378-D'!M46</f>
        <v>2.976190476190476E-3</v>
      </c>
      <c r="L174" s="16">
        <f>+'DZ133378-D'!N46</f>
        <v>1.9428571428571427E-2</v>
      </c>
    </row>
    <row r="175" spans="1:12" ht="20.100000000000001" customHeight="1">
      <c r="A175" s="15">
        <v>166</v>
      </c>
      <c r="B175" s="15" t="str">
        <f t="shared" si="3"/>
        <v>142D</v>
      </c>
      <c r="C175" s="15" t="str">
        <f>+'DZ133378-D'!A47</f>
        <v>VARIOS</v>
      </c>
      <c r="D175" s="251" t="str">
        <f>+'DZ133378-D'!C47</f>
        <v>Cumplementar parametros de control de calidad.(7)</v>
      </c>
      <c r="E175" s="252"/>
      <c r="F175" s="252"/>
      <c r="G175" s="252"/>
      <c r="H175" s="252"/>
      <c r="I175" s="253"/>
      <c r="J175" s="15" t="str">
        <f>+'DZ133378-D'!D47</f>
        <v>R</v>
      </c>
      <c r="K175" s="17">
        <f>+'DZ133378-D'!M47</f>
        <v>0.01</v>
      </c>
      <c r="L175" s="16">
        <f>+'DZ133378-D'!N47</f>
        <v>2.3100000000000006E-2</v>
      </c>
    </row>
    <row r="176" spans="1:12" ht="20.100000000000001" customHeight="1">
      <c r="A176" s="15">
        <v>167</v>
      </c>
      <c r="B176" s="15" t="str">
        <f t="shared" si="3"/>
        <v>142D</v>
      </c>
      <c r="C176" s="15" t="str">
        <f>+'DZ133378-D'!A48</f>
        <v>CELULA</v>
      </c>
      <c r="D176" s="251" t="str">
        <f>+'DZ133378-D'!C48</f>
        <v>Limpiar pieza y secar</v>
      </c>
      <c r="E176" s="252"/>
      <c r="F176" s="252"/>
      <c r="G176" s="252"/>
      <c r="H176" s="252"/>
      <c r="I176" s="253"/>
      <c r="J176" s="15" t="str">
        <f>+'DZ133378-D'!D48</f>
        <v>R</v>
      </c>
      <c r="K176" s="17">
        <f>+'DZ133378-D'!M48</f>
        <v>5.0000000000000001E-3</v>
      </c>
      <c r="L176" s="16">
        <f>+'DZ133378-D'!N48</f>
        <v>4.928000000000001E-3</v>
      </c>
    </row>
    <row r="177" spans="1:12" ht="39.75" customHeight="1">
      <c r="A177" s="15">
        <v>168</v>
      </c>
      <c r="B177" s="15" t="str">
        <f t="shared" si="3"/>
        <v>142D</v>
      </c>
      <c r="C177" s="15" t="str">
        <f>+'DZ133378-D'!A49</f>
        <v>CELULA</v>
      </c>
      <c r="D177" s="284" t="str">
        <f>+'DZ133378-D'!C49</f>
        <v>Desplazarse con pieza a verificación, apuntar referencia en papel y dejar. 
30 MTS A-119=,076+,442=0,518 + 0,115</v>
      </c>
      <c r="E177" s="285"/>
      <c r="F177" s="285"/>
      <c r="G177" s="285"/>
      <c r="H177" s="285"/>
      <c r="I177" s="286"/>
      <c r="J177" s="15" t="str">
        <f>+'DZ133378-D'!D49</f>
        <v>R</v>
      </c>
      <c r="K177" s="17">
        <f>+'DZ133378-D'!M49</f>
        <v>5.0000000000000001E-3</v>
      </c>
      <c r="L177" s="16">
        <f>+'DZ133378-D'!N49</f>
        <v>3.1650000000000003E-3</v>
      </c>
    </row>
    <row r="178" spans="1:12" ht="20.100000000000001" customHeight="1">
      <c r="A178" s="15">
        <v>169</v>
      </c>
      <c r="B178" s="15" t="str">
        <f t="shared" si="3"/>
        <v>142D</v>
      </c>
      <c r="C178" s="15" t="str">
        <f>+'DZ133378-D'!A50</f>
        <v>CELULA</v>
      </c>
      <c r="D178" s="251" t="str">
        <f>+'DZ133378-D'!C50</f>
        <v>Coger pieza y desplazarse a celula.60 MTS G-1058=,798</v>
      </c>
      <c r="E178" s="252"/>
      <c r="F178" s="252"/>
      <c r="G178" s="252"/>
      <c r="H178" s="252"/>
      <c r="I178" s="253"/>
      <c r="J178" s="15" t="str">
        <f>+'DZ133378-D'!D50</f>
        <v>R</v>
      </c>
      <c r="K178" s="17">
        <f>+'DZ133378-D'!M50</f>
        <v>5.0000000000000001E-3</v>
      </c>
      <c r="L178" s="16">
        <f>+'DZ133378-D'!N50</f>
        <v>3.9900000000000005E-3</v>
      </c>
    </row>
    <row r="179" spans="1:12" ht="20.100000000000001" customHeight="1">
      <c r="A179" s="15">
        <v>170</v>
      </c>
      <c r="B179" s="15" t="str">
        <f t="shared" si="3"/>
        <v>142D</v>
      </c>
      <c r="C179" s="15" t="str">
        <f>+'DZ133378-D'!A51</f>
        <v>CELULA</v>
      </c>
      <c r="D179" s="251" t="str">
        <f>+'DZ133378-D'!C51</f>
        <v>Coger pieza y desplazarse a celula. 50 MTS A-119=0,846</v>
      </c>
      <c r="E179" s="252"/>
      <c r="F179" s="252"/>
      <c r="G179" s="252"/>
      <c r="H179" s="252"/>
      <c r="I179" s="253"/>
      <c r="J179" s="15" t="str">
        <f>+'DZ133378-D'!D51</f>
        <v>R</v>
      </c>
      <c r="K179" s="17">
        <f>+'DZ133378-D'!M51</f>
        <v>5.0000000000000001E-3</v>
      </c>
      <c r="L179" s="16">
        <f>+'DZ133378-D'!N51</f>
        <v>4.2299999999999994E-3</v>
      </c>
    </row>
  </sheetData>
  <mergeCells count="204">
    <mergeCell ref="D178:I178"/>
    <mergeCell ref="D179:I179"/>
    <mergeCell ref="D169:I169"/>
    <mergeCell ref="D170:I170"/>
    <mergeCell ref="D171:I171"/>
    <mergeCell ref="D172:I172"/>
    <mergeCell ref="D173:I173"/>
    <mergeCell ref="D174:I174"/>
    <mergeCell ref="D175:I175"/>
    <mergeCell ref="D176:I176"/>
    <mergeCell ref="D177:I177"/>
    <mergeCell ref="D160:I160"/>
    <mergeCell ref="D161:I161"/>
    <mergeCell ref="D162:I162"/>
    <mergeCell ref="D163:I163"/>
    <mergeCell ref="D164:I164"/>
    <mergeCell ref="D165:I165"/>
    <mergeCell ref="D166:I166"/>
    <mergeCell ref="D167:I167"/>
    <mergeCell ref="D168:I168"/>
    <mergeCell ref="D151:I151"/>
    <mergeCell ref="D152:I152"/>
    <mergeCell ref="D153:I153"/>
    <mergeCell ref="D154:I154"/>
    <mergeCell ref="D155:I155"/>
    <mergeCell ref="D156:I156"/>
    <mergeCell ref="D157:I157"/>
    <mergeCell ref="D158:I158"/>
    <mergeCell ref="D159:I159"/>
    <mergeCell ref="D142:I142"/>
    <mergeCell ref="D143:I143"/>
    <mergeCell ref="D144:I144"/>
    <mergeCell ref="D145:I145"/>
    <mergeCell ref="D146:I146"/>
    <mergeCell ref="D147:I147"/>
    <mergeCell ref="D148:I148"/>
    <mergeCell ref="D149:I149"/>
    <mergeCell ref="D150:I150"/>
    <mergeCell ref="D133:I133"/>
    <mergeCell ref="D134:I134"/>
    <mergeCell ref="D135:I135"/>
    <mergeCell ref="D136:I136"/>
    <mergeCell ref="D137:I137"/>
    <mergeCell ref="D138:I138"/>
    <mergeCell ref="D139:I139"/>
    <mergeCell ref="D140:I140"/>
    <mergeCell ref="D141:I141"/>
    <mergeCell ref="D124:I124"/>
    <mergeCell ref="D125:I125"/>
    <mergeCell ref="D126:I126"/>
    <mergeCell ref="D127:I127"/>
    <mergeCell ref="D128:I128"/>
    <mergeCell ref="D129:I129"/>
    <mergeCell ref="D130:I130"/>
    <mergeCell ref="D131:I131"/>
    <mergeCell ref="D132:I132"/>
    <mergeCell ref="D115:I115"/>
    <mergeCell ref="D116:I116"/>
    <mergeCell ref="D117:I117"/>
    <mergeCell ref="D118:I118"/>
    <mergeCell ref="D119:I119"/>
    <mergeCell ref="D120:I120"/>
    <mergeCell ref="D121:I121"/>
    <mergeCell ref="D122:I122"/>
    <mergeCell ref="D123:I123"/>
    <mergeCell ref="D106:I106"/>
    <mergeCell ref="D107:I107"/>
    <mergeCell ref="D108:I108"/>
    <mergeCell ref="D109:I109"/>
    <mergeCell ref="D110:I110"/>
    <mergeCell ref="D111:I111"/>
    <mergeCell ref="D112:I112"/>
    <mergeCell ref="D113:I113"/>
    <mergeCell ref="D114:I114"/>
    <mergeCell ref="D97:I97"/>
    <mergeCell ref="D98:I98"/>
    <mergeCell ref="D99:I99"/>
    <mergeCell ref="D100:I100"/>
    <mergeCell ref="D101:I101"/>
    <mergeCell ref="D102:I102"/>
    <mergeCell ref="D103:I103"/>
    <mergeCell ref="D104:I104"/>
    <mergeCell ref="D105:I105"/>
    <mergeCell ref="D88:I88"/>
    <mergeCell ref="D89:I89"/>
    <mergeCell ref="D90:I90"/>
    <mergeCell ref="D91:I91"/>
    <mergeCell ref="D92:I92"/>
    <mergeCell ref="D93:I93"/>
    <mergeCell ref="D94:I94"/>
    <mergeCell ref="D95:I95"/>
    <mergeCell ref="D96:I96"/>
    <mergeCell ref="D9:I9"/>
    <mergeCell ref="D10:I10"/>
    <mergeCell ref="D17:I17"/>
    <mergeCell ref="D18:I18"/>
    <mergeCell ref="D19:I19"/>
    <mergeCell ref="D20:I20"/>
    <mergeCell ref="D21:I21"/>
    <mergeCell ref="D22:I22"/>
    <mergeCell ref="D11:I11"/>
    <mergeCell ref="D12:I12"/>
    <mergeCell ref="D13:I13"/>
    <mergeCell ref="D14:I14"/>
    <mergeCell ref="D15:I15"/>
    <mergeCell ref="D16:I16"/>
    <mergeCell ref="D29:I29"/>
    <mergeCell ref="D30:I30"/>
    <mergeCell ref="D31:I31"/>
    <mergeCell ref="D32:I32"/>
    <mergeCell ref="D33:I33"/>
    <mergeCell ref="D34:I34"/>
    <mergeCell ref="D23:I23"/>
    <mergeCell ref="D24:I24"/>
    <mergeCell ref="D25:I25"/>
    <mergeCell ref="D26:I26"/>
    <mergeCell ref="D27:I27"/>
    <mergeCell ref="D28:I28"/>
    <mergeCell ref="D41:I41"/>
    <mergeCell ref="D42:I42"/>
    <mergeCell ref="D43:I43"/>
    <mergeCell ref="D44:I44"/>
    <mergeCell ref="D45:I45"/>
    <mergeCell ref="D46:I46"/>
    <mergeCell ref="D35:I35"/>
    <mergeCell ref="D36:I36"/>
    <mergeCell ref="D37:I37"/>
    <mergeCell ref="D38:I38"/>
    <mergeCell ref="D39:I39"/>
    <mergeCell ref="D40:I40"/>
    <mergeCell ref="D54:I54"/>
    <mergeCell ref="D55:I55"/>
    <mergeCell ref="D56:I56"/>
    <mergeCell ref="D57:I57"/>
    <mergeCell ref="D58:I58"/>
    <mergeCell ref="D47:I47"/>
    <mergeCell ref="D48:I48"/>
    <mergeCell ref="D49:I49"/>
    <mergeCell ref="D50:I50"/>
    <mergeCell ref="D51:I51"/>
    <mergeCell ref="D52:I52"/>
    <mergeCell ref="R9:S9"/>
    <mergeCell ref="R10:S10"/>
    <mergeCell ref="R11:S11"/>
    <mergeCell ref="R13:S13"/>
    <mergeCell ref="R14:T14"/>
    <mergeCell ref="D85:I85"/>
    <mergeCell ref="D86:I86"/>
    <mergeCell ref="D87:I87"/>
    <mergeCell ref="O14:Q15"/>
    <mergeCell ref="O16:Q17"/>
    <mergeCell ref="N29:P29"/>
    <mergeCell ref="N30:Q33"/>
    <mergeCell ref="D80:I80"/>
    <mergeCell ref="D81:I81"/>
    <mergeCell ref="D82:I82"/>
    <mergeCell ref="D83:I83"/>
    <mergeCell ref="D84:I84"/>
    <mergeCell ref="D74:I74"/>
    <mergeCell ref="D75:I75"/>
    <mergeCell ref="D76:I76"/>
    <mergeCell ref="D77:I77"/>
    <mergeCell ref="D78:I78"/>
    <mergeCell ref="D79:I79"/>
    <mergeCell ref="D53:I53"/>
    <mergeCell ref="R31:S31"/>
    <mergeCell ref="R29:S29"/>
    <mergeCell ref="R30:S30"/>
    <mergeCell ref="N5:Q6"/>
    <mergeCell ref="G3:H3"/>
    <mergeCell ref="G4:H4"/>
    <mergeCell ref="G5:H5"/>
    <mergeCell ref="N7:O7"/>
    <mergeCell ref="R12:S12"/>
    <mergeCell ref="R22:S22"/>
    <mergeCell ref="R23:S23"/>
    <mergeCell ref="R24:S24"/>
    <mergeCell ref="R26:T26"/>
    <mergeCell ref="R27:S27"/>
    <mergeCell ref="R28:S28"/>
    <mergeCell ref="R25:S25"/>
    <mergeCell ref="R15:S15"/>
    <mergeCell ref="R16:S16"/>
    <mergeCell ref="R17:S17"/>
    <mergeCell ref="R18:S18"/>
    <mergeCell ref="R20:T20"/>
    <mergeCell ref="R21:S21"/>
    <mergeCell ref="R19:S19"/>
    <mergeCell ref="R8:T8"/>
    <mergeCell ref="D68:I68"/>
    <mergeCell ref="D69:I69"/>
    <mergeCell ref="D70:I70"/>
    <mergeCell ref="D71:I71"/>
    <mergeCell ref="D72:I72"/>
    <mergeCell ref="D73:I73"/>
    <mergeCell ref="D59:I59"/>
    <mergeCell ref="D60:I60"/>
    <mergeCell ref="D61:I61"/>
    <mergeCell ref="D62:I62"/>
    <mergeCell ref="D63:I63"/>
    <mergeCell ref="D64:I64"/>
    <mergeCell ref="D65:I65"/>
    <mergeCell ref="D66:I66"/>
    <mergeCell ref="D67:I67"/>
  </mergeCells>
  <phoneticPr fontId="7" type="noConversion"/>
  <printOptions horizontalCentered="1"/>
  <pageMargins left="0.70866141732283472" right="0.51181102362204722" top="0.74803149606299213" bottom="0.74803149606299213" header="0.31496062992125984" footer="0.31496062992125984"/>
  <pageSetup scale="82" fitToHeight="5" orientation="landscape" horizontalDpi="1200" verticalDpi="1200" r:id="rId1"/>
  <headerFooter>
    <oddFooter>&amp;RJohn Deere Ibérica, S.A.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4D49-101A-495B-881E-83BCBCDDF414}">
  <dimension ref="B1:V74"/>
  <sheetViews>
    <sheetView showGridLines="0" workbookViewId="0">
      <selection activeCell="N17" sqref="N17:O17"/>
    </sheetView>
  </sheetViews>
  <sheetFormatPr defaultColWidth="11.42578125" defaultRowHeight="15"/>
  <cols>
    <col min="1" max="1" width="2.7109375" customWidth="1"/>
    <col min="2" max="2" width="7.7109375" customWidth="1"/>
    <col min="4" max="4" width="40.42578125" customWidth="1"/>
    <col min="8" max="8" width="7.85546875" customWidth="1"/>
    <col min="9" max="9" width="8.140625" customWidth="1"/>
    <col min="10" max="10" width="4.85546875" customWidth="1"/>
    <col min="13" max="13" width="6" customWidth="1"/>
    <col min="14" max="14" width="41.5703125" customWidth="1"/>
    <col min="19" max="19" width="6.28515625" customWidth="1"/>
    <col min="20" max="20" width="6" customWidth="1"/>
    <col min="21" max="21" width="7.140625" customWidth="1"/>
  </cols>
  <sheetData>
    <row r="1" spans="2:22" ht="24.95" customHeight="1"/>
    <row r="2" spans="2:22" ht="24.95" customHeight="1"/>
    <row r="3" spans="2:22" ht="24.95" customHeight="1" thickBot="1"/>
    <row r="4" spans="2:22" ht="24.95" customHeight="1" thickTop="1" thickBot="1">
      <c r="B4" s="287" t="s">
        <v>223</v>
      </c>
      <c r="C4" s="288"/>
      <c r="D4" s="288"/>
      <c r="E4" s="288"/>
      <c r="F4" s="288"/>
      <c r="G4" s="288"/>
      <c r="H4" s="288"/>
      <c r="I4" s="288"/>
      <c r="J4" s="288"/>
      <c r="K4" s="289"/>
      <c r="M4" s="287" t="s">
        <v>224</v>
      </c>
      <c r="N4" s="288"/>
      <c r="O4" s="288"/>
      <c r="P4" s="288"/>
      <c r="Q4" s="288"/>
      <c r="R4" s="288"/>
      <c r="S4" s="288"/>
      <c r="T4" s="288"/>
      <c r="U4" s="288"/>
      <c r="V4" s="289"/>
    </row>
    <row r="5" spans="2:22" ht="24.95" customHeight="1" thickTop="1">
      <c r="B5" s="65"/>
      <c r="C5" s="290" t="s">
        <v>42</v>
      </c>
      <c r="D5" s="290"/>
      <c r="E5" s="66" t="s">
        <v>225</v>
      </c>
      <c r="F5" s="66" t="s">
        <v>226</v>
      </c>
      <c r="G5" s="66" t="s">
        <v>227</v>
      </c>
      <c r="H5" s="291" t="s">
        <v>228</v>
      </c>
      <c r="I5" s="291"/>
      <c r="J5" s="291"/>
      <c r="K5" s="67" t="s">
        <v>229</v>
      </c>
      <c r="M5" s="65"/>
      <c r="N5" s="290" t="s">
        <v>42</v>
      </c>
      <c r="O5" s="290"/>
      <c r="P5" s="66" t="s">
        <v>225</v>
      </c>
      <c r="Q5" s="66" t="s">
        <v>226</v>
      </c>
      <c r="R5" s="66" t="s">
        <v>230</v>
      </c>
      <c r="S5" s="291" t="s">
        <v>228</v>
      </c>
      <c r="T5" s="291"/>
      <c r="U5" s="291"/>
      <c r="V5" s="67" t="s">
        <v>229</v>
      </c>
    </row>
    <row r="6" spans="2:22" ht="24.95" customHeight="1">
      <c r="B6" s="68">
        <v>1</v>
      </c>
      <c r="C6" s="292" t="s">
        <v>231</v>
      </c>
      <c r="D6" s="292"/>
      <c r="E6" s="69">
        <v>50</v>
      </c>
      <c r="F6" s="69" t="s">
        <v>232</v>
      </c>
      <c r="G6" s="70">
        <f>0.076+(E6-3.05)/0.305*0.005</f>
        <v>0.84567213114754103</v>
      </c>
      <c r="H6" s="293" t="s">
        <v>233</v>
      </c>
      <c r="I6" s="293"/>
      <c r="J6" s="293"/>
      <c r="K6" s="71">
        <f>G6</f>
        <v>0.84567213114754103</v>
      </c>
      <c r="M6" s="68">
        <v>1</v>
      </c>
      <c r="N6" s="292" t="s">
        <v>231</v>
      </c>
      <c r="O6" s="292"/>
      <c r="P6" s="69">
        <v>50</v>
      </c>
      <c r="Q6" s="69" t="s">
        <v>232</v>
      </c>
      <c r="R6" s="70">
        <f>0.076+(P6-3.05)/0.305*0.005</f>
        <v>0.84567213114754103</v>
      </c>
      <c r="S6" s="293" t="s">
        <v>233</v>
      </c>
      <c r="T6" s="293"/>
      <c r="U6" s="293"/>
      <c r="V6" s="71">
        <f>R6</f>
        <v>0.84567213114754103</v>
      </c>
    </row>
    <row r="7" spans="2:22" ht="24.95" customHeight="1">
      <c r="B7" s="68">
        <v>2</v>
      </c>
      <c r="C7" s="292" t="s">
        <v>234</v>
      </c>
      <c r="D7" s="292"/>
      <c r="E7" s="69">
        <v>50</v>
      </c>
      <c r="F7" s="69" t="s">
        <v>232</v>
      </c>
      <c r="G7" s="72">
        <f>(1/(7000/60))*1.3*1.1</f>
        <v>1.2257142857142859E-2</v>
      </c>
      <c r="H7" s="293" t="s">
        <v>235</v>
      </c>
      <c r="I7" s="293"/>
      <c r="J7" s="293"/>
      <c r="K7" s="71">
        <f>G7*E7</f>
        <v>0.61285714285714299</v>
      </c>
      <c r="M7" s="68">
        <v>2</v>
      </c>
      <c r="N7" s="292" t="s">
        <v>234</v>
      </c>
      <c r="O7" s="292"/>
      <c r="P7" s="69">
        <v>50</v>
      </c>
      <c r="Q7" s="69" t="s">
        <v>232</v>
      </c>
      <c r="R7" s="72">
        <f>(1/(7000/60))*1.3*1.1</f>
        <v>1.2257142857142859E-2</v>
      </c>
      <c r="S7" s="293" t="s">
        <v>235</v>
      </c>
      <c r="T7" s="293"/>
      <c r="U7" s="293"/>
      <c r="V7" s="71">
        <f>R7*P7</f>
        <v>0.61285714285714299</v>
      </c>
    </row>
    <row r="8" spans="2:22" ht="24.95" customHeight="1">
      <c r="B8" s="68">
        <v>3</v>
      </c>
      <c r="C8" s="292" t="s">
        <v>236</v>
      </c>
      <c r="D8" s="292"/>
      <c r="E8" s="69"/>
      <c r="F8" s="69" t="s">
        <v>237</v>
      </c>
      <c r="G8" s="73">
        <v>0.49099999999999999</v>
      </c>
      <c r="H8" s="293" t="s">
        <v>238</v>
      </c>
      <c r="I8" s="293"/>
      <c r="J8" s="293"/>
      <c r="K8" s="71">
        <f>G8</f>
        <v>0.49099999999999999</v>
      </c>
      <c r="M8" s="74">
        <v>3</v>
      </c>
      <c r="N8" s="294" t="s">
        <v>239</v>
      </c>
      <c r="O8" s="294"/>
      <c r="P8" s="75"/>
      <c r="Q8" s="75" t="s">
        <v>237</v>
      </c>
      <c r="R8" s="76">
        <v>0.49099999999999999</v>
      </c>
      <c r="S8" s="295" t="s">
        <v>238</v>
      </c>
      <c r="T8" s="295"/>
      <c r="U8" s="295"/>
      <c r="V8" s="77">
        <f>R8</f>
        <v>0.49099999999999999</v>
      </c>
    </row>
    <row r="9" spans="2:22" ht="24.95" customHeight="1">
      <c r="B9" s="68">
        <v>4</v>
      </c>
      <c r="C9" s="292" t="s">
        <v>240</v>
      </c>
      <c r="D9" s="292"/>
      <c r="E9" s="69">
        <v>100</v>
      </c>
      <c r="F9" s="69" t="s">
        <v>232</v>
      </c>
      <c r="G9" s="78">
        <v>2.4E-2</v>
      </c>
      <c r="H9" s="293" t="s">
        <v>235</v>
      </c>
      <c r="I9" s="293"/>
      <c r="J9" s="293"/>
      <c r="K9" s="71">
        <f>G9*E9</f>
        <v>2.4</v>
      </c>
      <c r="M9" s="74">
        <v>4</v>
      </c>
      <c r="N9" s="294" t="s">
        <v>241</v>
      </c>
      <c r="O9" s="294"/>
      <c r="P9" s="75">
        <v>20</v>
      </c>
      <c r="Q9" s="75" t="s">
        <v>232</v>
      </c>
      <c r="R9" s="79">
        <v>2.4E-2</v>
      </c>
      <c r="S9" s="295" t="s">
        <v>235</v>
      </c>
      <c r="T9" s="295"/>
      <c r="U9" s="295"/>
      <c r="V9" s="77">
        <f>R9*P9</f>
        <v>0.48</v>
      </c>
    </row>
    <row r="10" spans="2:22" ht="24.95" customHeight="1">
      <c r="B10" s="68">
        <v>5</v>
      </c>
      <c r="C10" s="292" t="s">
        <v>242</v>
      </c>
      <c r="D10" s="292"/>
      <c r="E10" s="69"/>
      <c r="F10" s="69" t="s">
        <v>237</v>
      </c>
      <c r="G10" s="78">
        <v>0.254</v>
      </c>
      <c r="H10" s="293" t="s">
        <v>238</v>
      </c>
      <c r="I10" s="293"/>
      <c r="J10" s="293"/>
      <c r="K10" s="71">
        <f>G10</f>
        <v>0.254</v>
      </c>
      <c r="M10" s="74">
        <v>5</v>
      </c>
      <c r="N10" s="294" t="s">
        <v>243</v>
      </c>
      <c r="O10" s="294"/>
      <c r="P10" s="75"/>
      <c r="Q10" s="75" t="s">
        <v>237</v>
      </c>
      <c r="R10" s="79">
        <v>0.254</v>
      </c>
      <c r="S10" s="295" t="s">
        <v>238</v>
      </c>
      <c r="T10" s="295"/>
      <c r="U10" s="295"/>
      <c r="V10" s="77">
        <f>R10</f>
        <v>0.254</v>
      </c>
    </row>
    <row r="11" spans="2:22" ht="24.95" customHeight="1">
      <c r="B11" s="68">
        <v>6</v>
      </c>
      <c r="C11" s="292" t="s">
        <v>244</v>
      </c>
      <c r="D11" s="292"/>
      <c r="E11" s="69"/>
      <c r="F11" s="69" t="s">
        <v>237</v>
      </c>
      <c r="G11" s="78">
        <v>0.254</v>
      </c>
      <c r="H11" s="293" t="s">
        <v>238</v>
      </c>
      <c r="I11" s="293"/>
      <c r="J11" s="293"/>
      <c r="K11" s="71">
        <f>G11</f>
        <v>0.254</v>
      </c>
      <c r="M11" s="68">
        <v>6</v>
      </c>
      <c r="N11" s="292" t="s">
        <v>245</v>
      </c>
      <c r="O11" s="292"/>
      <c r="P11" s="69"/>
      <c r="Q11" s="69" t="s">
        <v>237</v>
      </c>
      <c r="R11" s="73">
        <v>0.49099999999999999</v>
      </c>
      <c r="S11" s="293" t="s">
        <v>238</v>
      </c>
      <c r="T11" s="293"/>
      <c r="U11" s="293"/>
      <c r="V11" s="71">
        <f>R11</f>
        <v>0.49099999999999999</v>
      </c>
    </row>
    <row r="12" spans="2:22" ht="24.95" customHeight="1">
      <c r="B12" s="68">
        <v>7</v>
      </c>
      <c r="C12" s="292" t="s">
        <v>246</v>
      </c>
      <c r="D12" s="292"/>
      <c r="E12" s="69">
        <v>100</v>
      </c>
      <c r="F12" s="69" t="s">
        <v>232</v>
      </c>
      <c r="G12" s="72">
        <f>(1/(7000/60))*1.3*1.1</f>
        <v>1.2257142857142859E-2</v>
      </c>
      <c r="H12" s="293" t="s">
        <v>235</v>
      </c>
      <c r="I12" s="293"/>
      <c r="J12" s="293"/>
      <c r="K12" s="71">
        <f>G12*E12</f>
        <v>1.225714285714286</v>
      </c>
      <c r="M12" s="68">
        <v>7</v>
      </c>
      <c r="N12" s="292" t="s">
        <v>240</v>
      </c>
      <c r="O12" s="292"/>
      <c r="P12" s="69">
        <v>100</v>
      </c>
      <c r="Q12" s="69" t="s">
        <v>232</v>
      </c>
      <c r="R12" s="78">
        <v>2.4E-2</v>
      </c>
      <c r="S12" s="293" t="s">
        <v>235</v>
      </c>
      <c r="T12" s="293"/>
      <c r="U12" s="293"/>
      <c r="V12" s="71">
        <f>R12*P12</f>
        <v>2.4</v>
      </c>
    </row>
    <row r="13" spans="2:22" ht="24.95" customHeight="1">
      <c r="B13" s="68">
        <v>8</v>
      </c>
      <c r="C13" s="292" t="s">
        <v>247</v>
      </c>
      <c r="D13" s="292"/>
      <c r="E13" s="69"/>
      <c r="F13" s="69" t="s">
        <v>237</v>
      </c>
      <c r="G13" s="78">
        <v>0.49099999999999999</v>
      </c>
      <c r="H13" s="293" t="s">
        <v>238</v>
      </c>
      <c r="I13" s="293"/>
      <c r="J13" s="293"/>
      <c r="K13" s="71">
        <f>G13</f>
        <v>0.49099999999999999</v>
      </c>
      <c r="M13" s="68">
        <v>8</v>
      </c>
      <c r="N13" s="292" t="s">
        <v>242</v>
      </c>
      <c r="O13" s="292"/>
      <c r="P13" s="69"/>
      <c r="Q13" s="69" t="s">
        <v>237</v>
      </c>
      <c r="R13" s="78">
        <v>0.254</v>
      </c>
      <c r="S13" s="293" t="s">
        <v>238</v>
      </c>
      <c r="T13" s="293"/>
      <c r="U13" s="293"/>
      <c r="V13" s="71">
        <f>R13</f>
        <v>0.254</v>
      </c>
    </row>
    <row r="14" spans="2:22" ht="24.95" customHeight="1">
      <c r="B14" s="68">
        <v>9</v>
      </c>
      <c r="C14" s="292" t="s">
        <v>248</v>
      </c>
      <c r="D14" s="292"/>
      <c r="E14" s="69">
        <v>100</v>
      </c>
      <c r="F14" s="69" t="s">
        <v>232</v>
      </c>
      <c r="G14" s="72">
        <v>2.4E-2</v>
      </c>
      <c r="H14" s="293" t="s">
        <v>235</v>
      </c>
      <c r="I14" s="293"/>
      <c r="J14" s="293"/>
      <c r="K14" s="71">
        <f>G14*E14</f>
        <v>2.4</v>
      </c>
      <c r="M14" s="68">
        <v>9</v>
      </c>
      <c r="N14" s="292" t="s">
        <v>244</v>
      </c>
      <c r="O14" s="292"/>
      <c r="P14" s="69"/>
      <c r="Q14" s="69" t="s">
        <v>237</v>
      </c>
      <c r="R14" s="78">
        <v>0.189</v>
      </c>
      <c r="S14" s="293" t="s">
        <v>238</v>
      </c>
      <c r="T14" s="293"/>
      <c r="U14" s="293"/>
      <c r="V14" s="71">
        <f>R14</f>
        <v>0.189</v>
      </c>
    </row>
    <row r="15" spans="2:22" ht="24.95" customHeight="1">
      <c r="B15" s="68">
        <v>10</v>
      </c>
      <c r="C15" s="292" t="s">
        <v>249</v>
      </c>
      <c r="D15" s="292"/>
      <c r="E15" s="69"/>
      <c r="F15" s="69" t="s">
        <v>237</v>
      </c>
      <c r="G15" s="78">
        <v>0.254</v>
      </c>
      <c r="H15" s="293" t="s">
        <v>238</v>
      </c>
      <c r="I15" s="293"/>
      <c r="J15" s="293"/>
      <c r="K15" s="71">
        <f>G15</f>
        <v>0.254</v>
      </c>
      <c r="M15" s="68">
        <v>10</v>
      </c>
      <c r="N15" s="294" t="s">
        <v>250</v>
      </c>
      <c r="O15" s="294"/>
      <c r="P15" s="75">
        <v>100</v>
      </c>
      <c r="Q15" s="75" t="s">
        <v>232</v>
      </c>
      <c r="R15" s="80">
        <f>(1/(7000/60))*1.3*1.1</f>
        <v>1.2257142857142859E-2</v>
      </c>
      <c r="S15" s="295" t="s">
        <v>235</v>
      </c>
      <c r="T15" s="295"/>
      <c r="U15" s="295"/>
      <c r="V15" s="77">
        <f>R15*P15</f>
        <v>1.225714285714286</v>
      </c>
    </row>
    <row r="16" spans="2:22" ht="24.95" customHeight="1">
      <c r="B16" s="68">
        <v>11</v>
      </c>
      <c r="C16" s="292" t="s">
        <v>251</v>
      </c>
      <c r="D16" s="292"/>
      <c r="E16" s="69">
        <v>50</v>
      </c>
      <c r="F16" s="69" t="s">
        <v>232</v>
      </c>
      <c r="G16" s="72">
        <f>(1/(7000/60))*1.3*1.1</f>
        <v>1.2257142857142859E-2</v>
      </c>
      <c r="H16" s="293" t="s">
        <v>235</v>
      </c>
      <c r="I16" s="293"/>
      <c r="J16" s="293"/>
      <c r="K16" s="71">
        <f>G16*E16</f>
        <v>0.61285714285714299</v>
      </c>
      <c r="M16" s="74">
        <v>11</v>
      </c>
      <c r="N16" s="294" t="s">
        <v>247</v>
      </c>
      <c r="O16" s="294"/>
      <c r="P16" s="75"/>
      <c r="Q16" s="75" t="s">
        <v>237</v>
      </c>
      <c r="R16" s="79">
        <v>0.49099999999999999</v>
      </c>
      <c r="S16" s="295" t="s">
        <v>238</v>
      </c>
      <c r="T16" s="295"/>
      <c r="U16" s="295"/>
      <c r="V16" s="77">
        <f>R16</f>
        <v>0.49099999999999999</v>
      </c>
    </row>
    <row r="17" spans="2:22" ht="24.95" customHeight="1" thickBot="1">
      <c r="B17" s="81">
        <v>12</v>
      </c>
      <c r="C17" s="296" t="s">
        <v>252</v>
      </c>
      <c r="D17" s="296"/>
      <c r="E17" s="82">
        <v>50</v>
      </c>
      <c r="F17" s="69" t="s">
        <v>232</v>
      </c>
      <c r="G17" s="83">
        <f>0.076+(E17-3.05)/0.305*0.005</f>
        <v>0.84567213114754103</v>
      </c>
      <c r="H17" s="297" t="s">
        <v>233</v>
      </c>
      <c r="I17" s="297"/>
      <c r="J17" s="297"/>
      <c r="K17" s="84">
        <f>G17</f>
        <v>0.84567213114754103</v>
      </c>
      <c r="M17" s="74">
        <v>12</v>
      </c>
      <c r="N17" s="294" t="s">
        <v>253</v>
      </c>
      <c r="O17" s="294"/>
      <c r="P17" s="75">
        <v>50</v>
      </c>
      <c r="Q17" s="75" t="s">
        <v>232</v>
      </c>
      <c r="R17" s="80">
        <v>2.4E-2</v>
      </c>
      <c r="S17" s="295" t="s">
        <v>235</v>
      </c>
      <c r="T17" s="295"/>
      <c r="U17" s="295"/>
      <c r="V17" s="77">
        <f>R17*P17</f>
        <v>1.2</v>
      </c>
    </row>
    <row r="18" spans="2:22" ht="24.95" customHeight="1" thickTop="1">
      <c r="B18" s="85"/>
      <c r="C18" s="86"/>
      <c r="D18" s="86"/>
      <c r="E18" s="86"/>
      <c r="F18" s="87" t="s">
        <v>254</v>
      </c>
      <c r="G18" s="87"/>
      <c r="H18" s="88"/>
      <c r="I18" s="86"/>
      <c r="J18" s="86"/>
      <c r="K18" s="89">
        <f>+K8+K10+K11+K13+K15</f>
        <v>1.744</v>
      </c>
      <c r="M18" s="74">
        <v>13</v>
      </c>
      <c r="N18" s="294" t="s">
        <v>249</v>
      </c>
      <c r="O18" s="294"/>
      <c r="P18" s="75"/>
      <c r="Q18" s="75" t="s">
        <v>237</v>
      </c>
      <c r="R18" s="79">
        <v>0.49099999999999999</v>
      </c>
      <c r="S18" s="295" t="s">
        <v>238</v>
      </c>
      <c r="T18" s="295"/>
      <c r="U18" s="295"/>
      <c r="V18" s="77">
        <f>R18</f>
        <v>0.49099999999999999</v>
      </c>
    </row>
    <row r="19" spans="2:22" ht="24.95" customHeight="1" thickBot="1">
      <c r="B19" s="90"/>
      <c r="C19" s="64"/>
      <c r="D19" s="64"/>
      <c r="E19" s="64"/>
      <c r="F19" s="91" t="s">
        <v>255</v>
      </c>
      <c r="G19" s="91"/>
      <c r="H19" s="92"/>
      <c r="I19" s="64"/>
      <c r="J19" s="91"/>
      <c r="K19" s="93">
        <f>+K6+K7+K9+K12+K14+K16+K17</f>
        <v>8.9427728337236534</v>
      </c>
      <c r="M19" s="68">
        <v>14</v>
      </c>
      <c r="N19" s="292" t="s">
        <v>251</v>
      </c>
      <c r="O19" s="292"/>
      <c r="P19" s="69">
        <v>50</v>
      </c>
      <c r="Q19" s="69" t="s">
        <v>232</v>
      </c>
      <c r="R19" s="72">
        <f>(1/(7000/60))*1.3*1.1</f>
        <v>1.2257142857142859E-2</v>
      </c>
      <c r="S19" s="293" t="s">
        <v>235</v>
      </c>
      <c r="T19" s="293"/>
      <c r="U19" s="293"/>
      <c r="V19" s="71">
        <f>R19*P19</f>
        <v>0.61285714285714299</v>
      </c>
    </row>
    <row r="20" spans="2:22" ht="24.95" customHeight="1" thickTop="1" thickBot="1">
      <c r="B20" s="94"/>
      <c r="C20" s="95"/>
      <c r="D20" s="95"/>
      <c r="E20" s="95"/>
      <c r="F20" s="95"/>
      <c r="G20" s="96" t="s">
        <v>256</v>
      </c>
      <c r="H20" s="97"/>
      <c r="I20" s="95"/>
      <c r="J20" s="96"/>
      <c r="K20" s="98">
        <f>SUM(K18:K19)</f>
        <v>10.686772833723653</v>
      </c>
      <c r="M20" s="99">
        <v>15</v>
      </c>
      <c r="N20" s="298" t="s">
        <v>252</v>
      </c>
      <c r="O20" s="298"/>
      <c r="P20" s="100">
        <v>50</v>
      </c>
      <c r="Q20" s="69" t="s">
        <v>232</v>
      </c>
      <c r="R20" s="101">
        <f>0.076+(P20-3.05)/0.305*0.005</f>
        <v>0.84567213114754103</v>
      </c>
      <c r="S20" s="299" t="s">
        <v>233</v>
      </c>
      <c r="T20" s="299"/>
      <c r="U20" s="299"/>
      <c r="V20" s="102">
        <f>R20</f>
        <v>0.84567213114754103</v>
      </c>
    </row>
    <row r="21" spans="2:22" ht="24.95" customHeight="1" thickTop="1" thickBot="1">
      <c r="M21" s="103"/>
      <c r="N21" s="104"/>
      <c r="O21" s="104"/>
      <c r="P21" s="104"/>
      <c r="Q21" s="105" t="s">
        <v>254</v>
      </c>
      <c r="R21" s="105"/>
      <c r="S21" s="106"/>
      <c r="T21" s="104"/>
      <c r="U21" s="104"/>
      <c r="V21" s="107">
        <f>+V8+V10+V11+V13+V14+V16+V18</f>
        <v>2.661</v>
      </c>
    </row>
    <row r="22" spans="2:22" ht="24.95" customHeight="1" thickTop="1" thickBot="1">
      <c r="B22" s="287" t="s">
        <v>257</v>
      </c>
      <c r="C22" s="288"/>
      <c r="D22" s="288"/>
      <c r="E22" s="288"/>
      <c r="F22" s="288"/>
      <c r="G22" s="288"/>
      <c r="H22" s="288"/>
      <c r="I22" s="288"/>
      <c r="J22" s="288"/>
      <c r="K22" s="289"/>
      <c r="M22" s="108"/>
      <c r="Q22" s="109" t="s">
        <v>255</v>
      </c>
      <c r="R22" s="109"/>
      <c r="S22" s="9"/>
      <c r="U22" s="109"/>
      <c r="V22" s="110">
        <f>+V6+V7+V9+V12+V15+V17+V19+V20</f>
        <v>8.2227728337236545</v>
      </c>
    </row>
    <row r="23" spans="2:22" ht="24.95" customHeight="1" thickTop="1" thickBot="1">
      <c r="B23" s="65"/>
      <c r="C23" s="290" t="s">
        <v>42</v>
      </c>
      <c r="D23" s="290"/>
      <c r="E23" s="66" t="s">
        <v>225</v>
      </c>
      <c r="F23" s="66" t="s">
        <v>226</v>
      </c>
      <c r="G23" s="66" t="s">
        <v>230</v>
      </c>
      <c r="H23" s="291" t="s">
        <v>228</v>
      </c>
      <c r="I23" s="291"/>
      <c r="J23" s="291"/>
      <c r="K23" s="67" t="s">
        <v>229</v>
      </c>
      <c r="M23" s="111"/>
      <c r="N23" s="29"/>
      <c r="O23" s="29"/>
      <c r="P23" s="29"/>
      <c r="Q23" s="29"/>
      <c r="R23" s="112" t="s">
        <v>256</v>
      </c>
      <c r="S23" s="113"/>
      <c r="T23" s="29"/>
      <c r="U23" s="112"/>
      <c r="V23" s="98">
        <f>SUM(V21:V22)</f>
        <v>10.883772833723654</v>
      </c>
    </row>
    <row r="24" spans="2:22" ht="24.95" customHeight="1" thickTop="1">
      <c r="B24" s="74">
        <v>1</v>
      </c>
      <c r="C24" s="294" t="s">
        <v>231</v>
      </c>
      <c r="D24" s="294"/>
      <c r="E24" s="75">
        <v>50</v>
      </c>
      <c r="F24" s="75" t="s">
        <v>232</v>
      </c>
      <c r="G24" s="114">
        <f>0.076+(E24-3.05)/0.305*0.005</f>
        <v>0.84567213114754103</v>
      </c>
      <c r="H24" s="295" t="s">
        <v>233</v>
      </c>
      <c r="I24" s="295"/>
      <c r="J24" s="295"/>
      <c r="K24" s="77">
        <f>G24</f>
        <v>0.84567213114754103</v>
      </c>
    </row>
    <row r="25" spans="2:22" ht="24.95" customHeight="1">
      <c r="B25" s="74">
        <v>2</v>
      </c>
      <c r="C25" s="294" t="s">
        <v>234</v>
      </c>
      <c r="D25" s="294"/>
      <c r="E25" s="75">
        <v>50</v>
      </c>
      <c r="F25" s="75" t="s">
        <v>232</v>
      </c>
      <c r="G25" s="80">
        <f>(1/(7000/60))*1.3*1.1</f>
        <v>1.2257142857142859E-2</v>
      </c>
      <c r="H25" s="295" t="s">
        <v>235</v>
      </c>
      <c r="I25" s="295"/>
      <c r="J25" s="295"/>
      <c r="K25" s="77">
        <f>G25*E25</f>
        <v>0.61285714285714299</v>
      </c>
    </row>
    <row r="26" spans="2:22" ht="24.95" customHeight="1">
      <c r="B26" s="74">
        <v>3</v>
      </c>
      <c r="C26" s="294" t="s">
        <v>236</v>
      </c>
      <c r="D26" s="294"/>
      <c r="E26" s="75"/>
      <c r="F26" s="75" t="s">
        <v>237</v>
      </c>
      <c r="G26" s="76">
        <v>0.49099999999999999</v>
      </c>
      <c r="H26" s="295" t="s">
        <v>238</v>
      </c>
      <c r="I26" s="295"/>
      <c r="J26" s="295"/>
      <c r="K26" s="77">
        <f>G26</f>
        <v>0.49099999999999999</v>
      </c>
    </row>
    <row r="27" spans="2:22" ht="24.95" customHeight="1">
      <c r="B27" s="74">
        <v>4</v>
      </c>
      <c r="C27" s="294" t="s">
        <v>241</v>
      </c>
      <c r="D27" s="294"/>
      <c r="E27" s="75">
        <v>20</v>
      </c>
      <c r="F27" s="75" t="s">
        <v>232</v>
      </c>
      <c r="G27" s="79">
        <v>2.4E-2</v>
      </c>
      <c r="H27" s="295" t="s">
        <v>235</v>
      </c>
      <c r="I27" s="295"/>
      <c r="J27" s="295"/>
      <c r="K27" s="77">
        <f>G27*E27</f>
        <v>0.48</v>
      </c>
    </row>
    <row r="28" spans="2:22" ht="24.95" customHeight="1">
      <c r="B28" s="74">
        <v>5</v>
      </c>
      <c r="C28" s="294" t="s">
        <v>243</v>
      </c>
      <c r="D28" s="294"/>
      <c r="E28" s="75"/>
      <c r="F28" s="75" t="s">
        <v>237</v>
      </c>
      <c r="G28" s="79">
        <v>0.254</v>
      </c>
      <c r="H28" s="295" t="s">
        <v>238</v>
      </c>
      <c r="I28" s="295"/>
      <c r="J28" s="295"/>
      <c r="K28" s="77">
        <f>G28</f>
        <v>0.254</v>
      </c>
    </row>
    <row r="29" spans="2:22" ht="24.95" customHeight="1">
      <c r="B29" s="74">
        <v>6</v>
      </c>
      <c r="C29" s="294" t="s">
        <v>244</v>
      </c>
      <c r="D29" s="294"/>
      <c r="E29" s="75"/>
      <c r="F29" s="75" t="s">
        <v>237</v>
      </c>
      <c r="G29" s="79">
        <v>0.189</v>
      </c>
      <c r="H29" s="295" t="s">
        <v>258</v>
      </c>
      <c r="I29" s="295"/>
      <c r="J29" s="295"/>
      <c r="K29" s="77">
        <f>G29</f>
        <v>0.189</v>
      </c>
    </row>
    <row r="30" spans="2:22" ht="24.95" customHeight="1">
      <c r="B30" s="74">
        <v>7</v>
      </c>
      <c r="C30" s="294" t="s">
        <v>250</v>
      </c>
      <c r="D30" s="294"/>
      <c r="E30" s="75">
        <v>50</v>
      </c>
      <c r="F30" s="75" t="s">
        <v>232</v>
      </c>
      <c r="G30" s="80">
        <f>(1/(7000/60))*1.3*1.1</f>
        <v>1.2257142857142859E-2</v>
      </c>
      <c r="H30" s="295" t="s">
        <v>235</v>
      </c>
      <c r="I30" s="295"/>
      <c r="J30" s="295"/>
      <c r="K30" s="77">
        <f>G30*E30</f>
        <v>0.61285714285714299</v>
      </c>
    </row>
    <row r="31" spans="2:22" ht="24.95" customHeight="1">
      <c r="B31" s="74">
        <v>8</v>
      </c>
      <c r="C31" s="294" t="s">
        <v>247</v>
      </c>
      <c r="D31" s="294"/>
      <c r="E31" s="75"/>
      <c r="F31" s="75" t="s">
        <v>237</v>
      </c>
      <c r="G31" s="79">
        <v>0.49099999999999999</v>
      </c>
      <c r="H31" s="295" t="s">
        <v>238</v>
      </c>
      <c r="I31" s="295"/>
      <c r="J31" s="295"/>
      <c r="K31" s="77">
        <f>G31</f>
        <v>0.49099999999999999</v>
      </c>
    </row>
    <row r="32" spans="2:22" ht="24.95" customHeight="1">
      <c r="B32" s="74">
        <v>9</v>
      </c>
      <c r="C32" s="294" t="s">
        <v>253</v>
      </c>
      <c r="D32" s="294"/>
      <c r="E32" s="75">
        <v>50</v>
      </c>
      <c r="F32" s="75" t="s">
        <v>232</v>
      </c>
      <c r="G32" s="80">
        <v>2.4E-2</v>
      </c>
      <c r="H32" s="295" t="s">
        <v>235</v>
      </c>
      <c r="I32" s="295"/>
      <c r="J32" s="295"/>
      <c r="K32" s="77">
        <f>G32*E32</f>
        <v>1.2</v>
      </c>
    </row>
    <row r="33" spans="2:11" ht="24.95" customHeight="1">
      <c r="B33" s="74">
        <v>10</v>
      </c>
      <c r="C33" s="294" t="s">
        <v>249</v>
      </c>
      <c r="D33" s="294"/>
      <c r="E33" s="75"/>
      <c r="F33" s="75" t="s">
        <v>237</v>
      </c>
      <c r="G33" s="79">
        <v>0.189</v>
      </c>
      <c r="H33" s="295" t="s">
        <v>258</v>
      </c>
      <c r="I33" s="295"/>
      <c r="J33" s="295"/>
      <c r="K33" s="77">
        <f>G33</f>
        <v>0.189</v>
      </c>
    </row>
    <row r="34" spans="2:11" ht="24.95" customHeight="1">
      <c r="B34" s="68">
        <v>11</v>
      </c>
      <c r="C34" s="292" t="s">
        <v>251</v>
      </c>
      <c r="D34" s="292"/>
      <c r="E34" s="69">
        <v>50</v>
      </c>
      <c r="F34" s="69" t="s">
        <v>232</v>
      </c>
      <c r="G34" s="72">
        <f>(1/(7000/60))*1.3*1.1</f>
        <v>1.2257142857142859E-2</v>
      </c>
      <c r="H34" s="293" t="s">
        <v>235</v>
      </c>
      <c r="I34" s="293"/>
      <c r="J34" s="293"/>
      <c r="K34" s="71">
        <f>G34*E34</f>
        <v>0.61285714285714299</v>
      </c>
    </row>
    <row r="35" spans="2:11" ht="24.95" customHeight="1" thickBot="1">
      <c r="B35" s="99">
        <v>12</v>
      </c>
      <c r="C35" s="298" t="s">
        <v>252</v>
      </c>
      <c r="D35" s="298"/>
      <c r="E35" s="100">
        <v>50</v>
      </c>
      <c r="F35" s="69" t="s">
        <v>232</v>
      </c>
      <c r="G35" s="101">
        <f>0.076+(E35-3.05)/0.305*0.005</f>
        <v>0.84567213114754103</v>
      </c>
      <c r="H35" s="299" t="s">
        <v>233</v>
      </c>
      <c r="I35" s="299"/>
      <c r="J35" s="299"/>
      <c r="K35" s="102">
        <f>G35</f>
        <v>0.84567213114754103</v>
      </c>
    </row>
    <row r="36" spans="2:11" ht="24.95" customHeight="1" thickTop="1">
      <c r="B36" s="103"/>
      <c r="C36" s="104"/>
      <c r="D36" s="104"/>
      <c r="E36" s="104"/>
      <c r="F36" s="105" t="s">
        <v>254</v>
      </c>
      <c r="G36" s="105"/>
      <c r="H36" s="106"/>
      <c r="I36" s="104"/>
      <c r="J36" s="104"/>
      <c r="K36" s="107">
        <f>+K26+K28+K29+K31+K33</f>
        <v>1.6139999999999999</v>
      </c>
    </row>
    <row r="37" spans="2:11" ht="24.95" customHeight="1" thickBot="1">
      <c r="B37" s="108"/>
      <c r="F37" s="109" t="s">
        <v>255</v>
      </c>
      <c r="G37" s="109"/>
      <c r="H37" s="9"/>
      <c r="J37" s="109"/>
      <c r="K37" s="110">
        <f>+K24+K25+K27+K30+K32+K34+K35</f>
        <v>5.2099156908665112</v>
      </c>
    </row>
    <row r="38" spans="2:11" ht="24.95" customHeight="1" thickTop="1" thickBot="1">
      <c r="B38" s="111"/>
      <c r="C38" s="29"/>
      <c r="D38" s="29"/>
      <c r="E38" s="29"/>
      <c r="F38" s="29"/>
      <c r="G38" s="112" t="s">
        <v>256</v>
      </c>
      <c r="H38" s="113"/>
      <c r="I38" s="29"/>
      <c r="J38" s="112"/>
      <c r="K38" s="98">
        <f>SUM(K36:K37)</f>
        <v>6.8239156908665111</v>
      </c>
    </row>
    <row r="39" spans="2:11" ht="24.95" customHeight="1" thickTop="1"/>
    <row r="40" spans="2:11" ht="24.95" customHeight="1"/>
    <row r="41" spans="2:11" ht="24.95" customHeight="1"/>
    <row r="42" spans="2:11" ht="24.95" customHeight="1"/>
    <row r="43" spans="2:11" ht="24.95" customHeight="1"/>
    <row r="44" spans="2:11" ht="24.95" customHeight="1"/>
    <row r="45" spans="2:11" ht="24.95" customHeight="1"/>
    <row r="46" spans="2:11" ht="24.95" customHeight="1"/>
    <row r="47" spans="2:11" ht="24.95" customHeight="1"/>
    <row r="48" spans="2:11" ht="24.95" customHeight="1"/>
    <row r="49" ht="24.95" customHeight="1"/>
    <row r="50" ht="24.95" customHeight="1"/>
    <row r="51" ht="24.95" customHeight="1"/>
    <row r="52" ht="24.95" customHeight="1"/>
    <row r="53" ht="24.95" customHeight="1"/>
    <row r="54" ht="24.95" customHeight="1"/>
    <row r="55" ht="24.95" customHeight="1"/>
    <row r="56" ht="24.95" customHeight="1"/>
    <row r="57" ht="24.95" customHeight="1"/>
    <row r="58" ht="24.95" customHeight="1"/>
    <row r="59" ht="24.95" customHeight="1"/>
    <row r="60" ht="24.95" customHeight="1"/>
    <row r="61" ht="24.95" customHeight="1"/>
    <row r="62" ht="24.95" customHeight="1"/>
    <row r="63" ht="24.95" customHeight="1"/>
    <row r="64" ht="24.95" customHeight="1"/>
    <row r="65" ht="24.95" customHeight="1"/>
    <row r="66" ht="24.95" customHeight="1"/>
    <row r="67" ht="24.95" customHeight="1"/>
    <row r="68" ht="24.95" customHeight="1"/>
    <row r="69" ht="24.95" customHeight="1"/>
    <row r="70" ht="24.95" customHeight="1"/>
    <row r="71" ht="24.95" customHeight="1"/>
    <row r="72" ht="24.95" customHeight="1"/>
    <row r="73" ht="24.95" customHeight="1"/>
    <row r="74" ht="24.95" customHeight="1"/>
  </sheetData>
  <mergeCells count="87">
    <mergeCell ref="C35:D35"/>
    <mergeCell ref="H35:J35"/>
    <mergeCell ref="C32:D32"/>
    <mergeCell ref="H32:J32"/>
    <mergeCell ref="C33:D33"/>
    <mergeCell ref="H33:J33"/>
    <mergeCell ref="C34:D34"/>
    <mergeCell ref="H34:J34"/>
    <mergeCell ref="C29:D29"/>
    <mergeCell ref="H29:J29"/>
    <mergeCell ref="C30:D30"/>
    <mergeCell ref="H30:J30"/>
    <mergeCell ref="C31:D31"/>
    <mergeCell ref="H31:J31"/>
    <mergeCell ref="C26:D26"/>
    <mergeCell ref="H26:J26"/>
    <mergeCell ref="C27:D27"/>
    <mergeCell ref="H27:J27"/>
    <mergeCell ref="C28:D28"/>
    <mergeCell ref="H28:J28"/>
    <mergeCell ref="C25:D25"/>
    <mergeCell ref="H25:J25"/>
    <mergeCell ref="N18:O18"/>
    <mergeCell ref="S18:U18"/>
    <mergeCell ref="N19:O19"/>
    <mergeCell ref="S19:U19"/>
    <mergeCell ref="N20:O20"/>
    <mergeCell ref="S20:U20"/>
    <mergeCell ref="B22:K22"/>
    <mergeCell ref="C23:D23"/>
    <mergeCell ref="H23:J23"/>
    <mergeCell ref="C24:D24"/>
    <mergeCell ref="H24:J24"/>
    <mergeCell ref="C16:D16"/>
    <mergeCell ref="H16:J16"/>
    <mergeCell ref="N16:O16"/>
    <mergeCell ref="S16:U16"/>
    <mergeCell ref="C17:D17"/>
    <mergeCell ref="H17:J17"/>
    <mergeCell ref="N17:O17"/>
    <mergeCell ref="S17:U17"/>
    <mergeCell ref="C14:D14"/>
    <mergeCell ref="H14:J14"/>
    <mergeCell ref="N14:O14"/>
    <mergeCell ref="S14:U14"/>
    <mergeCell ref="C15:D15"/>
    <mergeCell ref="H15:J15"/>
    <mergeCell ref="N15:O15"/>
    <mergeCell ref="S15:U15"/>
    <mergeCell ref="C12:D12"/>
    <mergeCell ref="H12:J12"/>
    <mergeCell ref="N12:O12"/>
    <mergeCell ref="S12:U12"/>
    <mergeCell ref="C13:D13"/>
    <mergeCell ref="H13:J13"/>
    <mergeCell ref="N13:O13"/>
    <mergeCell ref="S13:U13"/>
    <mergeCell ref="C10:D10"/>
    <mergeCell ref="H10:J10"/>
    <mergeCell ref="N10:O10"/>
    <mergeCell ref="S10:U10"/>
    <mergeCell ref="C11:D11"/>
    <mergeCell ref="H11:J11"/>
    <mergeCell ref="N11:O11"/>
    <mergeCell ref="S11:U11"/>
    <mergeCell ref="C8:D8"/>
    <mergeCell ref="H8:J8"/>
    <mergeCell ref="N8:O8"/>
    <mergeCell ref="S8:U8"/>
    <mergeCell ref="C9:D9"/>
    <mergeCell ref="H9:J9"/>
    <mergeCell ref="N9:O9"/>
    <mergeCell ref="S9:U9"/>
    <mergeCell ref="C6:D6"/>
    <mergeCell ref="H6:J6"/>
    <mergeCell ref="N6:O6"/>
    <mergeCell ref="S6:U6"/>
    <mergeCell ref="C7:D7"/>
    <mergeCell ref="H7:J7"/>
    <mergeCell ref="N7:O7"/>
    <mergeCell ref="S7:U7"/>
    <mergeCell ref="B4:K4"/>
    <mergeCell ref="M4:V4"/>
    <mergeCell ref="C5:D5"/>
    <mergeCell ref="H5:J5"/>
    <mergeCell ref="N5:O5"/>
    <mergeCell ref="S5:U5"/>
  </mergeCells>
  <pageMargins left="0.7" right="0.7" top="0.75" bottom="0.75" header="0.3" footer="0.3"/>
  <pageSetup paperSize="9" orientation="portrait" r:id="rId1"/>
  <headerFooter>
    <oddFooter>&amp;R&amp;1#&amp;"Calibri"&amp;10&amp;KFF0000Company Use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1F51-B318-4D85-8D59-17A86042D4EB}">
  <dimension ref="C4:H53"/>
  <sheetViews>
    <sheetView workbookViewId="0">
      <selection activeCell="E33" sqref="E33"/>
    </sheetView>
  </sheetViews>
  <sheetFormatPr defaultColWidth="11.42578125" defaultRowHeight="15"/>
  <cols>
    <col min="3" max="3" width="17.28515625" customWidth="1"/>
  </cols>
  <sheetData>
    <row r="4" spans="3:8" ht="15.75" thickBot="1"/>
    <row r="5" spans="3:8">
      <c r="C5" s="184"/>
      <c r="D5" s="185" t="s">
        <v>88</v>
      </c>
      <c r="E5" s="185" t="s">
        <v>1</v>
      </c>
      <c r="F5" s="185" t="s">
        <v>113</v>
      </c>
      <c r="G5" s="186" t="s">
        <v>259</v>
      </c>
    </row>
    <row r="6" spans="3:8">
      <c r="C6" s="187" t="s">
        <v>19</v>
      </c>
      <c r="D6">
        <f>+'R120638-A'!E6</f>
        <v>0</v>
      </c>
      <c r="E6">
        <f>+'R120636-B'!E6</f>
        <v>0</v>
      </c>
      <c r="F6">
        <f>+'R544000-C'!E6</f>
        <v>0</v>
      </c>
      <c r="G6" s="188">
        <f>+'DZ133378-D'!E6</f>
        <v>0</v>
      </c>
      <c r="H6">
        <f>SUM(D6:G6)</f>
        <v>0</v>
      </c>
    </row>
    <row r="7" spans="3:8">
      <c r="C7" s="187" t="s">
        <v>20</v>
      </c>
      <c r="D7">
        <f>+'R120638-A'!E7</f>
        <v>2.6160836017947013</v>
      </c>
      <c r="E7">
        <f>+'R120636-B'!E7</f>
        <v>3.155263784616682</v>
      </c>
      <c r="F7">
        <f>+'R544000-C'!E7</f>
        <v>6.1276777268358193</v>
      </c>
      <c r="G7" s="188">
        <f>+'DZ133378-D'!E7</f>
        <v>1.5866987412587417</v>
      </c>
      <c r="H7">
        <f>SUM(D7:G7)</f>
        <v>13.485723854505943</v>
      </c>
    </row>
    <row r="8" spans="3:8">
      <c r="C8" s="187" t="s">
        <v>21</v>
      </c>
      <c r="D8">
        <f>+'R120638-A'!E8</f>
        <v>2.3011084703079017</v>
      </c>
      <c r="E8">
        <f>+'R120636-B'!E8</f>
        <v>1.6560005285772705</v>
      </c>
      <c r="F8">
        <f>+'R544000-C'!E8</f>
        <v>14.840951830455857</v>
      </c>
      <c r="G8" s="188">
        <f>+'DZ133378-D'!E8</f>
        <v>3.2338009510489516</v>
      </c>
      <c r="H8">
        <f t="shared" ref="H8:H13" si="0">SUM(D8:G8)</f>
        <v>22.031861780389981</v>
      </c>
    </row>
    <row r="9" spans="3:8">
      <c r="C9" s="187" t="s">
        <v>22</v>
      </c>
      <c r="D9">
        <f>+'R120638-A'!E9</f>
        <v>12.552448310545003</v>
      </c>
      <c r="E9">
        <f>+'R120636-B'!E9</f>
        <v>13.429249511043762</v>
      </c>
      <c r="F9">
        <f>+'R544000-C'!E9</f>
        <v>2.2655386262273551</v>
      </c>
      <c r="G9" s="188">
        <f>+'DZ133378-D'!E9</f>
        <v>0.18683076923076924</v>
      </c>
      <c r="H9">
        <f t="shared" si="0"/>
        <v>28.434067217046891</v>
      </c>
    </row>
    <row r="10" spans="3:8">
      <c r="C10" s="187" t="s">
        <v>260</v>
      </c>
      <c r="D10">
        <f>+'R120638-A'!E10</f>
        <v>0.65101207076429068</v>
      </c>
      <c r="E10">
        <f>+'R120636-B'!E10</f>
        <v>0.66746567510247268</v>
      </c>
      <c r="F10">
        <f>+'R544000-C'!E10</f>
        <v>15.322043687232531</v>
      </c>
      <c r="G10" s="188">
        <f>+'DZ133378-D'!E10</f>
        <v>4.8738461538461548</v>
      </c>
      <c r="H10">
        <f t="shared" si="0"/>
        <v>21.51436758694545</v>
      </c>
    </row>
    <row r="11" spans="3:8">
      <c r="C11" s="187" t="s">
        <v>261</v>
      </c>
      <c r="D11">
        <f>+'R120638-A'!E11</f>
        <v>3.2457020978274262</v>
      </c>
      <c r="E11">
        <f>+'R120636-B'!E11</f>
        <v>3.3294731136541782</v>
      </c>
      <c r="F11">
        <f>+'R544000-C'!E11</f>
        <v>7.7910869097664586</v>
      </c>
      <c r="G11" s="188">
        <f>+'DZ133378-D'!E11</f>
        <v>3.0339260739260738</v>
      </c>
      <c r="H11">
        <f t="shared" si="0"/>
        <v>17.400188195174138</v>
      </c>
    </row>
    <row r="12" spans="3:8">
      <c r="C12" s="187" t="s">
        <v>25</v>
      </c>
      <c r="D12">
        <f>+'R120638-A'!E12</f>
        <v>1.0719216330558081</v>
      </c>
      <c r="E12">
        <f>+'R120636-B'!E12</f>
        <v>1.0990132573495517</v>
      </c>
      <c r="F12">
        <f>+'R544000-C'!E12</f>
        <v>1.9884314223582233</v>
      </c>
      <c r="G12" s="188">
        <f>+'DZ133378-D'!E12</f>
        <v>1.3070769230769232</v>
      </c>
      <c r="H12">
        <f t="shared" si="0"/>
        <v>5.4664432358405062</v>
      </c>
    </row>
    <row r="13" spans="3:8" ht="15.75" thickBot="1">
      <c r="C13" s="189" t="s">
        <v>26</v>
      </c>
      <c r="D13" s="190">
        <f>+'R120638-A'!E13</f>
        <v>370.55726309283068</v>
      </c>
      <c r="E13" s="190">
        <f>+'R120636-B'!E13</f>
        <v>378.82238916583742</v>
      </c>
      <c r="F13" s="190">
        <f>+'R544000-C'!E13</f>
        <v>290.46663067856224</v>
      </c>
      <c r="G13" s="191">
        <f>+'DZ133378-D'!E13</f>
        <v>181.45933426573427</v>
      </c>
      <c r="H13">
        <f t="shared" si="0"/>
        <v>1221.3056172029646</v>
      </c>
    </row>
    <row r="20" spans="3:6" ht="15.75" thickBot="1"/>
    <row r="21" spans="3:6">
      <c r="C21" s="211" t="s">
        <v>262</v>
      </c>
      <c r="D21" s="212"/>
      <c r="E21" s="213">
        <v>480</v>
      </c>
      <c r="F21" s="204"/>
    </row>
    <row r="22" spans="3:6">
      <c r="C22" s="214" t="s">
        <v>263</v>
      </c>
      <c r="D22" s="121"/>
      <c r="E22" s="215">
        <f>+COMBINADOR!B14+COMBINADOR!F14+COMBINADOR!J14+COMBINADOR!N14</f>
        <v>611.04526428219685</v>
      </c>
      <c r="F22" s="216">
        <f>+E22/E21</f>
        <v>1.2730109672545769</v>
      </c>
    </row>
    <row r="23" spans="3:6" ht="15.75" thickBot="1">
      <c r="C23" s="217" t="s">
        <v>264</v>
      </c>
      <c r="D23" s="218"/>
      <c r="E23" s="218">
        <f>+E21-E22</f>
        <v>-131.04526428219685</v>
      </c>
      <c r="F23" s="219">
        <f>+E23/E21</f>
        <v>-0.2730109672545768</v>
      </c>
    </row>
    <row r="37" spans="3:7" ht="15.75" thickBot="1"/>
    <row r="38" spans="3:7">
      <c r="C38" s="184" t="s">
        <v>37</v>
      </c>
      <c r="D38" s="220">
        <f>+COMBINADOR!D14+COMBINADOR!H14+COMBINADOR!L14+COMBINADOR!P14</f>
        <v>5.9084348982725388</v>
      </c>
    </row>
    <row r="39" spans="3:7" ht="15.75" thickBot="1">
      <c r="C39" s="221" t="s">
        <v>265</v>
      </c>
      <c r="D39" s="222">
        <f>+D53</f>
        <v>41.883750000000006</v>
      </c>
    </row>
    <row r="44" spans="3:7" ht="15.75" thickBot="1"/>
    <row r="45" spans="3:7">
      <c r="C45" s="184"/>
      <c r="D45" s="185" t="s">
        <v>88</v>
      </c>
      <c r="E45" s="185" t="s">
        <v>1</v>
      </c>
      <c r="F45" s="185" t="s">
        <v>113</v>
      </c>
      <c r="G45" s="186" t="s">
        <v>259</v>
      </c>
    </row>
    <row r="46" spans="3:7">
      <c r="C46" s="224" t="s">
        <v>19</v>
      </c>
      <c r="D46" s="225">
        <f>+'R120638-A'!D6</f>
        <v>0</v>
      </c>
      <c r="E46" s="225">
        <f>+'R120636-B'!D6</f>
        <v>0</v>
      </c>
      <c r="F46" s="225">
        <f>+'R544000-C'!D6</f>
        <v>0</v>
      </c>
      <c r="G46" s="226">
        <f>+'DZ133378-D'!D6</f>
        <v>0</v>
      </c>
    </row>
    <row r="47" spans="3:7">
      <c r="C47" s="224" t="s">
        <v>266</v>
      </c>
      <c r="D47" s="225">
        <f>+'R120638-A'!D7</f>
        <v>1.4260606060606062E-2</v>
      </c>
      <c r="E47" s="225">
        <f>+'R120636-B'!D7</f>
        <v>1.6775757575757576E-2</v>
      </c>
      <c r="F47" s="225">
        <f>+'R544000-C'!D7</f>
        <v>2.2727272727272728E-2</v>
      </c>
      <c r="G47" s="226">
        <f>+'DZ133378-D'!D7</f>
        <v>1.7905454545454547E-2</v>
      </c>
    </row>
    <row r="48" spans="3:7">
      <c r="C48" s="224" t="s">
        <v>13</v>
      </c>
      <c r="D48" s="227">
        <f>+'R120638-A'!P4</f>
        <v>45</v>
      </c>
      <c r="E48" s="227">
        <f>+'R120636-B'!P4</f>
        <v>49</v>
      </c>
      <c r="F48" s="227">
        <f>+'R544000-C'!P4</f>
        <v>45</v>
      </c>
      <c r="G48" s="228">
        <f>+'DZ133378-D'!P4</f>
        <v>45</v>
      </c>
    </row>
    <row r="49" spans="3:7">
      <c r="C49" s="224" t="s">
        <v>14</v>
      </c>
      <c r="D49">
        <f>+'R120638-A'!B4</f>
        <v>1.06</v>
      </c>
      <c r="E49" s="229">
        <f>+'R120636-B'!B4</f>
        <v>1</v>
      </c>
      <c r="F49" s="229">
        <f>+'R544000-C'!B4</f>
        <v>0.93075000000000008</v>
      </c>
      <c r="G49" s="230">
        <f>+'DZ133378-D'!B4</f>
        <v>3.8</v>
      </c>
    </row>
    <row r="50" spans="3:7">
      <c r="C50" s="224" t="s">
        <v>267</v>
      </c>
      <c r="D50">
        <f>+D49*D48</f>
        <v>47.7</v>
      </c>
      <c r="E50">
        <f>+E49*E48</f>
        <v>49</v>
      </c>
      <c r="F50">
        <f>+F49*F48</f>
        <v>41.883750000000006</v>
      </c>
      <c r="G50" s="188"/>
    </row>
    <row r="51" spans="3:7">
      <c r="C51" s="224" t="s">
        <v>268</v>
      </c>
      <c r="D51">
        <f>D50-E48*E46-E48*E47-F48*F46-F48*F47</f>
        <v>45.855260606060611</v>
      </c>
      <c r="E51">
        <f>E50-D46*D48-D47*D48-F46*F47-F46*F48</f>
        <v>48.358272727272727</v>
      </c>
      <c r="F51">
        <f>F50-D48*D46-D48*D47-E48*E46-E48*E47</f>
        <v>40.420010606060615</v>
      </c>
      <c r="G51" s="188"/>
    </row>
    <row r="52" spans="3:7">
      <c r="C52" s="224" t="s">
        <v>269</v>
      </c>
      <c r="D52">
        <f>MIN(D51,E51,F51)</f>
        <v>40.420010606060615</v>
      </c>
      <c r="G52" s="188"/>
    </row>
    <row r="53" spans="3:7" ht="15.75" thickBot="1">
      <c r="C53" s="221" t="s">
        <v>265</v>
      </c>
      <c r="D53" s="190">
        <f>IF(D52=D51,D50,IF(D52=E51,E50,F50))</f>
        <v>41.883750000000006</v>
      </c>
      <c r="E53" s="190"/>
      <c r="F53" s="190"/>
      <c r="G53" s="191"/>
    </row>
  </sheetData>
  <pageMargins left="0.7" right="0.7" top="0.75" bottom="0.75" header="0.3" footer="0.3"/>
  <drawing r:id="rId1"/>
</worksheet>
</file>

<file path=docMetadata/LabelInfo.xml><?xml version="1.0" encoding="utf-8"?>
<clbl:labelList xmlns:clbl="http://schemas.microsoft.com/office/2020/mipLabelMetadata">
  <clbl:label id="{6388fff8-b053-4fb1-90cd-f0bc93ae9791}" enabled="1" method="Privileged" siteId="{39b03722-b836-496a-85ec-850f0957ca6b}"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Morales Javier</dc:creator>
  <cp:keywords/>
  <dc:description/>
  <cp:lastModifiedBy/>
  <cp:revision/>
  <dcterms:created xsi:type="dcterms:W3CDTF">2023-09-25T05:42:35Z</dcterms:created>
  <dcterms:modified xsi:type="dcterms:W3CDTF">2026-03-30T10:39:09Z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388fff8-b053-4fb1-90cd-f0bc93ae9791_Enabled">
    <vt:lpwstr>true</vt:lpwstr>
  </property>
  <property fmtid="{D5CDD505-2E9C-101B-9397-08002B2CF9AE}" pid="3" name="MSIP_Label_6388fff8-b053-4fb1-90cd-f0bc93ae9791_SetDate">
    <vt:lpwstr>2023-09-25T05:58:00Z</vt:lpwstr>
  </property>
  <property fmtid="{D5CDD505-2E9C-101B-9397-08002B2CF9AE}" pid="4" name="MSIP_Label_6388fff8-b053-4fb1-90cd-f0bc93ae9791_Method">
    <vt:lpwstr>Privileged</vt:lpwstr>
  </property>
  <property fmtid="{D5CDD505-2E9C-101B-9397-08002B2CF9AE}" pid="5" name="MSIP_Label_6388fff8-b053-4fb1-90cd-f0bc93ae9791_Name">
    <vt:lpwstr>Company Use</vt:lpwstr>
  </property>
  <property fmtid="{D5CDD505-2E9C-101B-9397-08002B2CF9AE}" pid="6" name="MSIP_Label_6388fff8-b053-4fb1-90cd-f0bc93ae9791_SiteId">
    <vt:lpwstr>39b03722-b836-496a-85ec-850f0957ca6b</vt:lpwstr>
  </property>
  <property fmtid="{D5CDD505-2E9C-101B-9397-08002B2CF9AE}" pid="7" name="MSIP_Label_6388fff8-b053-4fb1-90cd-f0bc93ae9791_ActionId">
    <vt:lpwstr>8217c37d-17f1-4bba-a419-334f5db7d90d</vt:lpwstr>
  </property>
  <property fmtid="{D5CDD505-2E9C-101B-9397-08002B2CF9AE}" pid="8" name="MSIP_Label_6388fff8-b053-4fb1-90cd-f0bc93ae9791_ContentBits">
    <vt:lpwstr>2</vt:lpwstr>
  </property>
</Properties>
</file>